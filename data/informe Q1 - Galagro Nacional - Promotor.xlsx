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Galagro Nacional/"/>
    </mc:Choice>
  </mc:AlternateContent>
  <xr:revisionPtr revIDLastSave="994" documentId="8_{960FE695-AF63-40F4-9EA3-50ABC266E663}" xr6:coauthVersionLast="47" xr6:coauthVersionMax="47" xr10:uidLastSave="{E5A1423E-1706-47A7-A89E-D3436FDF3895}"/>
  <bookViews>
    <workbookView xWindow="70" yWindow="570" windowWidth="19130" windowHeight="10230" xr2:uid="{8CB96C25-A9AE-48CD-9AFA-979EB32D5F5A}"/>
  </bookViews>
  <sheets>
    <sheet name="Tabla dinam gestion comercial" sheetId="5" r:id="rId1"/>
    <sheet name="mensual" sheetId="18" r:id="rId2"/>
    <sheet name="X territorio" sheetId="22" r:id="rId3"/>
    <sheet name="Trimestre" sheetId="1" r:id="rId4"/>
    <sheet name="Act Campo" sheetId="14" r:id="rId5"/>
    <sheet name="Leads" sheetId="9" r:id="rId6"/>
    <sheet name="Director" sheetId="23" r:id="rId7"/>
    <sheet name="Tecnico" sheetId="8" r:id="rId8"/>
    <sheet name="Fincas" sheetId="10" r:id="rId9"/>
    <sheet name="Territorios" sheetId="17" r:id="rId10"/>
    <sheet name="base director" sheetId="20" r:id="rId11"/>
    <sheet name="Resumen ejecutivo" sheetId="13" r:id="rId12"/>
  </sheets>
  <definedNames>
    <definedName name="_xlnm._FilterDatabase" localSheetId="4" hidden="1">'Act Campo'!$A$1:$AE$49</definedName>
    <definedName name="_xlnm._FilterDatabase" localSheetId="10" hidden="1">'base director'!$A$1:$K$161</definedName>
    <definedName name="_xlnm._FilterDatabase" localSheetId="5" hidden="1">Leads!$K$1:$P$20</definedName>
    <definedName name="_xlnm._FilterDatabase" localSheetId="0" hidden="1">'Tabla dinam gestion comercial'!$O$1:$W$22</definedName>
    <definedName name="_xlnm._FilterDatabase" localSheetId="9" hidden="1">Territorios!$A$1:$F$179</definedName>
    <definedName name="_xlnm.Print_Area" localSheetId="6">Director!$A$1:$K$30</definedName>
    <definedName name="_xlnm.Print_Area" localSheetId="1">mensual!$A$2:$K$32</definedName>
    <definedName name="_xlnm.Print_Area" localSheetId="3">Trimestre!$A$2:$I$33</definedName>
    <definedName name="_xlnm.Print_Area" localSheetId="2">'X territorio'!$A$1:$I$42</definedName>
    <definedName name="_xlnm.Print_Titles" localSheetId="6">Director!$1:$5</definedName>
    <definedName name="_xlnm.Print_Titles" localSheetId="1">mensual!$1:$5</definedName>
    <definedName name="_xlnm.Print_Titles" localSheetId="2">'X territorio'!$1:$5</definedName>
  </definedNames>
  <calcPr calcId="191029"/>
  <pivotCaches>
    <pivotCache cacheId="4" r:id="rId13"/>
    <pivotCache cacheId="5"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19" i="5" l="1"/>
  <c r="J15" i="18" a="1"/>
  <c r="J15" i="18" s="1"/>
  <c r="J17" i="18"/>
  <c r="J16" i="18"/>
  <c r="A6" i="9"/>
  <c r="J6" i="9"/>
  <c r="J5" i="9"/>
  <c r="I17" i="18"/>
  <c r="H17" i="18"/>
  <c r="G17" i="18"/>
  <c r="I15" i="18"/>
  <c r="H15" i="18"/>
  <c r="G15" i="18"/>
  <c r="J3" i="18"/>
  <c r="U13" i="5"/>
  <c r="U14" i="5"/>
  <c r="U15" i="5"/>
  <c r="U5" i="5"/>
  <c r="U18" i="5"/>
  <c r="U6" i="5"/>
  <c r="U7" i="5"/>
  <c r="H15" i="1"/>
  <c r="J15" i="23"/>
  <c r="I29" i="1" l="1"/>
  <c r="G15" i="1" l="1"/>
  <c r="H24" i="1"/>
  <c r="H23" i="1"/>
  <c r="G14" i="1"/>
  <c r="W2" i="5"/>
  <c r="V2" i="5"/>
  <c r="T2" i="5"/>
  <c r="S2" i="5"/>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I31" i="22"/>
  <c r="I24" i="23"/>
  <c r="H24" i="23"/>
  <c r="G24" i="23"/>
  <c r="I23" i="23"/>
  <c r="H23" i="23"/>
  <c r="G23" i="23"/>
  <c r="I18" i="23"/>
  <c r="H18" i="23"/>
  <c r="G18" i="23"/>
  <c r="J18"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26" i="18" l="1"/>
  <c r="J25" i="18"/>
  <c r="J24" i="23"/>
  <c r="D24" i="23" s="1"/>
  <c r="C24" i="23" s="1"/>
  <c r="J23" i="23"/>
  <c r="D23" i="23" s="1"/>
  <c r="C23" i="23" l="1"/>
  <c r="D25" i="23"/>
  <c r="C25" i="23" s="1"/>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AF86" i="14"/>
  <c r="H21" i="1"/>
  <c r="H20" i="1"/>
  <c r="H16" i="1"/>
  <c r="J23" i="18"/>
  <c r="I23" i="18"/>
  <c r="H23" i="18"/>
  <c r="G23" i="18"/>
  <c r="J22" i="18"/>
  <c r="I22" i="18"/>
  <c r="H22" i="18"/>
  <c r="G22" i="18"/>
  <c r="A3" i="9"/>
  <c r="A4" i="9"/>
  <c r="A5" i="9"/>
  <c r="D23" i="18" l="1"/>
  <c r="D22" i="18"/>
  <c r="F26" i="22"/>
  <c r="H3" i="22"/>
  <c r="A2" i="9"/>
  <c r="H5" i="22"/>
  <c r="H4" i="22"/>
  <c r="J4" i="18"/>
  <c r="J5" i="18"/>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2" i="14"/>
  <c r="J2" i="9"/>
  <c r="J3" i="9"/>
  <c r="J4" i="9"/>
  <c r="I16" i="18"/>
  <c r="G16" i="18"/>
  <c r="H16" i="18"/>
  <c r="U8" i="5"/>
  <c r="U12" i="5"/>
  <c r="U11" i="5"/>
  <c r="U17" i="5"/>
  <c r="U4" i="5"/>
  <c r="U16" i="5"/>
  <c r="U2" i="5"/>
  <c r="U9" i="5"/>
  <c r="U3" i="5"/>
  <c r="U10" i="5"/>
  <c r="G16" i="1"/>
  <c r="J2" i="8"/>
  <c r="G19" i="23"/>
  <c r="H19" i="23"/>
  <c r="I19" i="23"/>
  <c r="J14" i="23" a="1"/>
  <c r="J14" i="23" s="1"/>
  <c r="D14" i="23" s="1"/>
  <c r="G20" i="1"/>
  <c r="H5" i="1"/>
  <c r="H3" i="1"/>
  <c r="H4" i="1"/>
  <c r="G24" i="18" l="1"/>
  <c r="N20" i="9"/>
  <c r="O20" i="9"/>
  <c r="P20" i="9"/>
  <c r="O23" i="9"/>
  <c r="P23" i="9"/>
  <c r="P24" i="9"/>
  <c r="P22" i="9"/>
  <c r="O25" i="9"/>
  <c r="P25" i="9"/>
  <c r="N21" i="9"/>
  <c r="O21" i="9"/>
  <c r="N24" i="9"/>
  <c r="O24" i="9"/>
  <c r="N25" i="9"/>
  <c r="N23" i="9"/>
  <c r="P21" i="9"/>
  <c r="N22" i="9"/>
  <c r="O22" i="9"/>
  <c r="H25" i="22"/>
  <c r="G23" i="22"/>
  <c r="G22" i="1"/>
  <c r="D15" i="1"/>
  <c r="D15" i="18"/>
  <c r="H14" i="1"/>
  <c r="D14" i="1" s="1"/>
  <c r="H22" i="23"/>
  <c r="I22" i="23"/>
  <c r="G22" i="23"/>
  <c r="D19" i="23"/>
  <c r="C19" i="23" s="1"/>
  <c r="J22" i="23"/>
  <c r="C14" i="23"/>
  <c r="D16" i="18"/>
  <c r="J24" i="18"/>
  <c r="H24" i="22"/>
  <c r="H22" i="22" a="1"/>
  <c r="H22" i="22" s="1"/>
  <c r="H21" i="22" a="1"/>
  <c r="H21" i="22" s="1"/>
  <c r="H16" i="22"/>
  <c r="H18" i="22"/>
  <c r="H14" i="22"/>
  <c r="H19" i="18"/>
  <c r="I24" i="18"/>
  <c r="H24" i="18"/>
  <c r="H23" i="22"/>
  <c r="G25" i="22"/>
  <c r="G18" i="1"/>
  <c r="P7" i="9"/>
  <c r="P15" i="9"/>
  <c r="O4" i="9"/>
  <c r="O12" i="9"/>
  <c r="N9" i="9"/>
  <c r="N17" i="9"/>
  <c r="P8" i="9"/>
  <c r="P16" i="9"/>
  <c r="O5" i="9"/>
  <c r="O13" i="9"/>
  <c r="O2" i="9"/>
  <c r="N10" i="9"/>
  <c r="N18"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O9" i="9"/>
  <c r="O17" i="9"/>
  <c r="N6" i="9"/>
  <c r="N14" i="9"/>
  <c r="P2" i="9"/>
  <c r="O19" i="9"/>
  <c r="H15" i="22"/>
  <c r="G16" i="22"/>
  <c r="G18" i="22"/>
  <c r="G19" i="22"/>
  <c r="G24" i="22"/>
  <c r="H19" i="22"/>
  <c r="G14" i="22"/>
  <c r="G15" i="22"/>
  <c r="D17" i="18"/>
  <c r="C17" i="18" s="1"/>
  <c r="H20" i="18"/>
  <c r="I20" i="18"/>
  <c r="G20" i="18"/>
  <c r="D20" i="1"/>
  <c r="C20" i="1" s="1"/>
  <c r="C22" i="18"/>
  <c r="C23" i="18"/>
  <c r="I25" i="18"/>
  <c r="I19" i="18"/>
  <c r="G26" i="18"/>
  <c r="H26" i="18"/>
  <c r="I26" i="18"/>
  <c r="G25" i="18"/>
  <c r="G19" i="18"/>
  <c r="H25" i="18"/>
  <c r="J20" i="18"/>
  <c r="J19" i="18"/>
  <c r="H19" i="1"/>
  <c r="D16" i="1"/>
  <c r="H22" i="1"/>
  <c r="G24" i="1"/>
  <c r="G23" i="1"/>
  <c r="H18" i="1"/>
  <c r="G19" i="1"/>
  <c r="D20" i="18" l="1"/>
  <c r="C20" i="18" s="1"/>
  <c r="G21" i="1"/>
  <c r="D21" i="1" s="1"/>
  <c r="C21" i="1" s="1"/>
  <c r="D24" i="22"/>
  <c r="C24" i="22" s="1"/>
  <c r="C15" i="1"/>
  <c r="D22" i="23"/>
  <c r="C22" i="23" s="1"/>
  <c r="D15" i="22"/>
  <c r="C15" i="22" s="1"/>
  <c r="D14" i="22"/>
  <c r="D19" i="18"/>
  <c r="C19" i="18" s="1"/>
  <c r="G21" i="22"/>
  <c r="D21" i="22" s="1"/>
  <c r="C21" i="22" s="1"/>
  <c r="D25" i="22"/>
  <c r="C25" i="22" s="1"/>
  <c r="G22" i="22"/>
  <c r="D23" i="22"/>
  <c r="C23" i="22" s="1"/>
  <c r="D16" i="22"/>
  <c r="C16" i="22" s="1"/>
  <c r="D19" i="22"/>
  <c r="C19" i="22" s="1"/>
  <c r="D18" i="22"/>
  <c r="C18" i="22" s="1"/>
  <c r="D24" i="1"/>
  <c r="C24" i="1" s="1"/>
  <c r="D24" i="18"/>
  <c r="C24" i="18" s="1"/>
  <c r="D25" i="18"/>
  <c r="C25" i="18" s="1"/>
  <c r="D26" i="18"/>
  <c r="C26" i="18" s="1"/>
  <c r="D23" i="1"/>
  <c r="D22" i="1"/>
  <c r="C22" i="1" s="1"/>
  <c r="D18" i="1"/>
  <c r="D19" i="1"/>
  <c r="C16" i="1"/>
  <c r="A7" i="23" l="1"/>
  <c r="A11" i="23" s="1"/>
  <c r="C14" i="22"/>
  <c r="A7" i="1"/>
  <c r="K8" i="1" s="1"/>
  <c r="C14" i="1"/>
  <c r="D26" i="22"/>
  <c r="C26" i="22" s="1"/>
  <c r="A8" i="18"/>
  <c r="D27" i="18"/>
  <c r="C27" i="18" s="1"/>
  <c r="C23" i="1"/>
  <c r="C18" i="1"/>
  <c r="C19" i="1"/>
  <c r="N8" i="23" l="1"/>
  <c r="K30" i="23" s="1"/>
  <c r="K9" i="1"/>
  <c r="A11" i="1"/>
  <c r="L8" i="1"/>
  <c r="A29" i="1" l="1"/>
  <c r="G29" i="1"/>
  <c r="D29" i="1"/>
  <c r="H30" i="23"/>
  <c r="D30" i="23"/>
  <c r="O8" i="23"/>
  <c r="N9" i="23"/>
  <c r="A30" i="23"/>
  <c r="C15" i="18"/>
  <c r="N9" i="18"/>
  <c r="C16" i="18"/>
  <c r="K32" i="18" l="1"/>
  <c r="H32" i="18"/>
  <c r="D32" i="18"/>
  <c r="A32" i="18"/>
  <c r="N10" i="18"/>
  <c r="O9" i="18"/>
  <c r="A12" i="18"/>
  <c r="D22" i="22"/>
  <c r="C22" i="22" l="1"/>
  <c r="A7" i="22"/>
  <c r="L8" i="22" s="1"/>
  <c r="G31" i="22" l="1"/>
  <c r="A31" i="22"/>
  <c r="D31" i="22"/>
  <c r="A11" i="22"/>
  <c r="M8" i="22"/>
  <c r="L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tc={27280B6D-E8C3-4DA1-AB89-D43BE0975EFF}</author>
    <author>tc={BE2F6E56-50F0-449B-9743-D87D93781B92}</author>
    <author>tc={A601AC13-2891-4974-89E2-B60AC523F43A}</author>
    <author>tc={4FA4758A-AAE1-4FBC-8218-ACE36D2EC0C9}</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5"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5" authorId="1" shapeId="0" xr:uid="{27280B6D-E8C3-4DA1-AB89-D43BE0975E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6" authorId="2" shapeId="0" xr:uid="{BE2F6E56-50F0-449B-9743-D87D93781B92}">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6" authorId="3" shapeId="0" xr:uid="{A601AC13-2891-4974-89E2-B60AC523F43A}">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7" authorId="4"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9"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20"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2"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2"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3"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4"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5"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5"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6"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6"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4"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1"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2"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3"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4"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4"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5"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5"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4"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1"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3"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4"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<sst xmlns="http://schemas.openxmlformats.org/spreadsheetml/2006/main" count="4461" uniqueCount="1004">
  <si>
    <t xml:space="preserve">Reporte De Desempeño Comercial </t>
  </si>
  <si>
    <t>Resumen Trimestral</t>
  </si>
  <si>
    <t>Trimestre 1</t>
  </si>
  <si>
    <t>Enero- Marzo  de 2026</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</si>
  <si>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</si>
  <si>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</si>
  <si>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</si>
  <si>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</si>
  <si>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</si>
  <si>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</si>
  <si>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</si>
  <si>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</si>
  <si>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</si>
  <si>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</si>
  <si>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</si>
  <si>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</si>
  <si>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</si>
  <si>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</si>
  <si>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</si>
  <si>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</si>
  <si>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</si>
  <si>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</si>
  <si>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</si>
  <si>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</si>
  <si>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</si>
  <si>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</si>
  <si>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</si>
  <si>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</si>
  <si>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Clientes Visitados</t>
  </si>
  <si>
    <t>Cobertura Clientes</t>
  </si>
  <si>
    <t>Cant. Clientes Nuevos</t>
  </si>
  <si>
    <t>PYC AGRÍCOLA ANT BAJO CAUCA</t>
  </si>
  <si>
    <t>Carolina María Escobar Londoño</t>
  </si>
  <si>
    <t>PYC AGRÍCOLA ANT CÓRDOBA</t>
  </si>
  <si>
    <t>Jairo Jesús Morales Doria</t>
  </si>
  <si>
    <t>DUMAR HABIB JORGE ANTONIO</t>
  </si>
  <si>
    <t>PYC AGRÍCOLA ANT NORTE</t>
  </si>
  <si>
    <t>PYC AGRÍCOLA ANT ORIENTE A</t>
  </si>
  <si>
    <t>Heidy Catalina Hernandez Restrepo</t>
  </si>
  <si>
    <t>PYC AGRÍCOLA ANT ORIENTE B</t>
  </si>
  <si>
    <t>Alejandro Suárez García</t>
  </si>
  <si>
    <t>PYC AGRÍCOLA ANT SUROESTE</t>
  </si>
  <si>
    <t>Sara Ruíz Restrepo</t>
  </si>
  <si>
    <t>PYC AGRÍCOLA ANT VALLE ABURRÁ</t>
  </si>
  <si>
    <t>Daniel Alberto Moreno Rojas</t>
  </si>
  <si>
    <t>Total general</t>
  </si>
  <si>
    <t>Comercial</t>
  </si>
  <si>
    <t>Cargo</t>
  </si>
  <si>
    <t>Empresa</t>
  </si>
  <si>
    <t>Empresa:</t>
  </si>
  <si>
    <t>Carolina María Escobar Londoño (BC)</t>
  </si>
  <si>
    <t>Ejecución Visitas</t>
  </si>
  <si>
    <t>Excelente</t>
  </si>
  <si>
    <t>Destacado</t>
  </si>
  <si>
    <t>Crítico</t>
  </si>
  <si>
    <t>&gt;=90%</t>
  </si>
  <si>
    <t>75%&lt;&gt;90%</t>
  </si>
  <si>
    <t>&lt;74%</t>
  </si>
  <si>
    <t>&lt;60%</t>
  </si>
  <si>
    <t>"Enfocate en las oportunidades de mejora y mantén el ritmo en tus fortalezas."
¡Tu puedes alcanzar tus objetivos!</t>
  </si>
  <si>
    <t>Valor</t>
  </si>
  <si>
    <t>Restante</t>
  </si>
  <si>
    <t>Oculto</t>
  </si>
  <si>
    <t>Marcela Ramirez Ramirez</t>
  </si>
  <si>
    <t>Juan Felipe Botero Gómez</t>
  </si>
  <si>
    <t>Santiago Idarraga Hurtado</t>
  </si>
  <si>
    <t>Juan Esteban Montoya Serna</t>
  </si>
  <si>
    <t>Edison Ferney Rivera Muñoz</t>
  </si>
  <si>
    <t>(vacante) Alex García Moncada</t>
  </si>
  <si>
    <t>Fabian Rueda Rueda</t>
  </si>
  <si>
    <t>Marcela Ramirez Ramirez (BC)</t>
  </si>
  <si>
    <t>Grupo Artículos</t>
  </si>
  <si>
    <t>Valor Recomendaciones</t>
  </si>
  <si>
    <t>Recomendaciones vs Ppto</t>
  </si>
  <si>
    <t>Valor Ventas</t>
  </si>
  <si>
    <t>% Paticipación Recomendación</t>
  </si>
  <si>
    <t>Meta Referencias</t>
  </si>
  <si>
    <t>Referencias Recomendadas</t>
  </si>
  <si>
    <t>Unidad de Negocio</t>
  </si>
  <si>
    <t>Meta Leads</t>
  </si>
  <si>
    <t>Calificados Oportunos</t>
  </si>
  <si>
    <t>Fuera de Tiempo</t>
  </si>
  <si>
    <t>Leads calificados</t>
  </si>
  <si>
    <t>Pendientes</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</si>
  <si>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</si>
  <si>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</si>
  <si>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</si>
  <si>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</si>
  <si>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</si>
  <si>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</si>
  <si>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</si>
  <si>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</si>
  <si>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</si>
  <si>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</si>
  <si>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</si>
  <si>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</si>
  <si>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</si>
  <si>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</si>
  <si>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</si>
  <si>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</si>
  <si>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</si>
  <si>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</si>
  <si>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</si>
  <si>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</si>
  <si>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</si>
  <si>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</si>
  <si>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</si>
  <si>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</si>
  <si>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</si>
  <si>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</si>
  <si>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</si>
  <si>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</si>
  <si>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</si>
  <si>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</si>
  <si>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</si>
  <si>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</si>
  <si>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</si>
  <si>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</si>
  <si>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</si>
  <si>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</si>
  <si>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</si>
  <si>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</si>
  <si>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</si>
  <si>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</si>
  <si>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</si>
  <si>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</si>
  <si>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</si>
  <si>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</si>
  <si>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</si>
  <si>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</si>
  <si>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</si>
  <si>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</si>
  <si>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</si>
  <si>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</si>
  <si>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</si>
  <si>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</si>
  <si>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</si>
  <si>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</si>
  <si>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</si>
  <si>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</si>
  <si>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</si>
  <si>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</si>
  <si>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COOPERATIVA AGROMULTIACTIVA SAN BARTOLO COMSAB</t>
  </si>
  <si>
    <t>JARDIN</t>
  </si>
  <si>
    <t>GALAGRO CAUCA NAL.</t>
  </si>
  <si>
    <t>GALAGRO NORTE ANT.</t>
  </si>
  <si>
    <t>185079</t>
  </si>
  <si>
    <t>Capacitación compañia agricla la sierra</t>
  </si>
  <si>
    <t>1354498</t>
  </si>
  <si>
    <t>COMPAÑIA AGRICOLA DE LA SIERRA SUCU COMPAÑIA AGRICOLA DE LA SIERRA SUCU</t>
  </si>
  <si>
    <t>KM 5 VIA CARACOLI FNC DE LOS CHILEN / 05670 SAN ROQUE / CO</t>
  </si>
  <si>
    <t>COMPAÑIA AGRICOLA DE LA SIERRA SUCU COMPAÑIA AGRICOLA DE LA SIERRA SUCU / KM 5 VIA CARACOLI FNC DE L</t>
  </si>
  <si>
    <t>KM 5 VIA CARACOLI FNC DE L</t>
  </si>
  <si>
    <t>SAN ROQUE</t>
  </si>
  <si>
    <t>OCAMPO RAMIREZ JOSE DOMINGO FINCA #158</t>
  </si>
  <si>
    <t>GALAGRO ORIENTE B ANT.</t>
  </si>
  <si>
    <t>186431</t>
  </si>
  <si>
    <t>Ensayo productos sumitomo para potrero</t>
  </si>
  <si>
    <t>1578667</t>
  </si>
  <si>
    <t>CL 41 14 80 / 23001 MONTERIA / CO</t>
  </si>
  <si>
    <t>CORDOBA</t>
  </si>
  <si>
    <t>Ensayo de productos tales como torch multi, control Black, nufuron, en  parcelas demostrativas en la finca terranoba en cerete cordoba</t>
  </si>
  <si>
    <t>DUMAR HABIB JORGE ANTONIO / CL 41 14 80 / 23001 MONTERIA / CO</t>
  </si>
  <si>
    <t>CL 41 14 80 / 23001 MONTERIA</t>
  </si>
  <si>
    <t>MONTERIA</t>
  </si>
  <si>
    <t>187007</t>
  </si>
  <si>
    <t>Ver estado de la finca despues de la inundación</t>
  </si>
  <si>
    <t>1581734</t>
  </si>
  <si>
    <t>Juan Camilo Garcia Anaya La Gloria</t>
  </si>
  <si>
    <t>Juan Camilo Garcia Anaya La Gloria / CO</t>
  </si>
  <si>
    <t>187131</t>
  </si>
  <si>
    <t>Visita a la finca de un posible cliente</t>
  </si>
  <si>
    <t>Visita a la finca de Miguel Ardila, observamos las malezas y el estado de la finca para experimentar y hacer muestras del producto de sumitomo en potreros</t>
  </si>
  <si>
    <t>187234</t>
  </si>
  <si>
    <t>Conocer qhe malezas tiene la finca y el estado</t>
  </si>
  <si>
    <t>1577450</t>
  </si>
  <si>
    <t>Claudia Anaya Providencia</t>
  </si>
  <si>
    <t>Se fue a la finca y se hizo un recorrido por los potreros, se observaron el estado de los potreros y tipos de malezas</t>
  </si>
  <si>
    <t>Claudia Anaya Providencia / CO</t>
  </si>
  <si>
    <t>187685</t>
  </si>
  <si>
    <t>Visita a la finca la gloria</t>
  </si>
  <si>
    <t>Se converso con el sr Juan García,  se le recomendó la aplicación de foliar para ayudar al pasto con el estrés y a crecer más rápido, quedamos de ir de nuevo a medir los lotes a los cuales se van a trabajar</t>
  </si>
  <si>
    <t>188121</t>
  </si>
  <si>
    <t>Reconocimiento y evaluacion de la finca</t>
  </si>
  <si>
    <t>1583091</t>
  </si>
  <si>
    <t>Multiservicios del campo JE SAS Finca Janne</t>
  </si>
  <si>
    <t>Se conoció el lugar exacto de la finca, la finca es nueva, la están limpiando,  hay malezas grandes, hay que hacerle una labor de toconeo y otra de fumigacion, se estima hacer un ensayo para que el cliente vea los productos y hablar sobre si trabajamos juntos</t>
  </si>
  <si>
    <t>Multiservicios del campo JE SAS Finca Janne / CO</t>
  </si>
  <si>
    <t>188173</t>
  </si>
  <si>
    <t>Ensayar torch multi y control black</t>
  </si>
  <si>
    <t>Se hicieron dos tratamientos, uno con torch milti más nufuron a 120cc y otro con control Black a 200cc</t>
  </si>
  <si>
    <t>188308</t>
  </si>
  <si>
    <t>Entrega de productos y aplicación</t>
  </si>
  <si>
    <t>DISTRIBUCIONES ARAMA LTDA</t>
  </si>
  <si>
    <t>GALAGRO HUILA NAL.</t>
  </si>
  <si>
    <t>188827</t>
  </si>
  <si>
    <t>Aplicacion de Bingo,Gibgro y GoUpMicro</t>
  </si>
  <si>
    <t>Se hizo una aplicación de estos 3 productos ya que había una gran incidencia de gusanos y también buscamos ayudar a crecer el pasto, de alcanzó a fumigar al rededor de 1 hectárea ya que hoy no contaban con suficientes bombas</t>
  </si>
  <si>
    <t>188991</t>
  </si>
  <si>
    <t>Fumigacion de Bingo,GiBro</t>
  </si>
  <si>
    <t>189212</t>
  </si>
  <si>
    <t>Evalacion del producto utilizado y vista de finca</t>
  </si>
  <si>
    <t>Se va a evaluar la aplicación de matrero en toconeo y se va a mirar el estado de la finca y que se puede recomendar</t>
  </si>
  <si>
    <t>189372</t>
  </si>
  <si>
    <t>Preparacion de los productos</t>
  </si>
  <si>
    <t>Preparación de bingo y GiBro para la fumigacion foliar, y acompaña la fumigacion</t>
  </si>
  <si>
    <t>189926</t>
  </si>
  <si>
    <t>Seguimiento de aplicación foliar</t>
  </si>
  <si>
    <t>Vía cerrada, hay un bloqueo y no dejan pasar</t>
  </si>
  <si>
    <t>190179</t>
  </si>
  <si>
    <t>Chequeo de finca y aplicaciones</t>
  </si>
  <si>
    <t>190100</t>
  </si>
  <si>
    <t>Charla con federación</t>
  </si>
  <si>
    <t>1538030</t>
  </si>
  <si>
    <t>GABRIEL JAIME POSADA POSADA FINCA EL TAMBO</t>
  </si>
  <si>
    <t>VRD EL TAMBO SANTA RITA / 05034 ANDES / CO</t>
  </si>
  <si>
    <t>GABRIEL JAIME POSADA POSADA FINCA EL TAMBO / VRD EL TAMBO SANTA RITA / 05034 ANDES / CO</t>
  </si>
  <si>
    <t>DANTOTSU X 500 GR#|METROPOL SC X LT#|FLUMYZIN X 1 LT#</t>
  </si>
  <si>
    <t>VRD EL TAMBO SANTA RITA / 05034 ANDES</t>
  </si>
  <si>
    <t>ANDES</t>
  </si>
  <si>
    <t>190692</t>
  </si>
  <si>
    <t>Revisando famigacion foliar</t>
  </si>
  <si>
    <t>Se finalizó la aplicación de foliar de GibBro, Bingo y Go Up, se reviso el avance del crecimiento del pasto y si no se encontraba ningún gusano</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</si>
  <si>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</si>
  <si>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</si>
  <si>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</si>
  <si>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</si>
  <si>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</si>
  <si>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</si>
  <si>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</si>
  <si>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</si>
  <si>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</si>
  <si>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</si>
  <si>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</si>
  <si>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</si>
  <si>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</si>
  <si>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</si>
  <si>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</si>
  <si>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</si>
  <si>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</si>
  <si>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</si>
  <si>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</si>
  <si>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</si>
  <si>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</si>
  <si>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</si>
  <si>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Enero</t>
  </si>
  <si>
    <t>César Augusto Montoya Sierra</t>
  </si>
  <si>
    <t>Febrero</t>
  </si>
  <si>
    <t>Marzo</t>
  </si>
  <si>
    <t>(Vacante) Jonathan De Jesús Salcedo Arango</t>
  </si>
  <si>
    <t>Ppto</t>
  </si>
  <si>
    <t>REF CANTIDAD</t>
  </si>
  <si>
    <t>181466</t>
  </si>
  <si>
    <t>Capacitación a mostradores de comsab</t>
  </si>
  <si>
    <t>1333635</t>
  </si>
  <si>
    <t>Evento Especial</t>
  </si>
  <si>
    <t>DG 53 53 47 / 05034 ANDES / CO</t>
  </si>
  <si>
    <t>Nos acompaña Eduardo Sáenz sumitomo</t>
  </si>
  <si>
    <t>COOPERATIVA AGROMULTIACTIVA SAN BARTOLO COMSAB / DG 53 53 47 / 05034 ANDES / CO</t>
  </si>
  <si>
    <t>DG 53 53 47 / 05034 ANDES</t>
  </si>
  <si>
    <t>183061</t>
  </si>
  <si>
    <t>Capacitación a Mostradores, con probelte</t>
  </si>
  <si>
    <t>1000</t>
  </si>
  <si>
    <t>PEREZ Y CARDONA / CO</t>
  </si>
  <si>
    <t>182539</t>
  </si>
  <si>
    <t>Capacitación probelte en comsab</t>
  </si>
  <si>
    <t>Se capacitación los mostradores y quedaron muy contentos con la información</t>
  </si>
  <si>
    <t>180229</t>
  </si>
  <si>
    <t>Asamblea fedepapa</t>
  </si>
  <si>
    <t>1337069</t>
  </si>
  <si>
    <t>FED COLOMBIANA DE PRODUCTORES DE PAPA FEDEPAPA</t>
  </si>
  <si>
    <t>CL 11 8 31 / 05400 LA UNION / CO</t>
  </si>
  <si>
    <t>FED COLOMBIANA DE PRODUCTORES DE PAPA FEDEPAPA / CL 11 8 31 / 05400 LA UNION / CO</t>
  </si>
  <si>
    <t>CL 11 8 31 / 05400 LA UNION</t>
  </si>
  <si>
    <t>183791</t>
  </si>
  <si>
    <t>Charla veredal</t>
  </si>
  <si>
    <t>1333030</t>
  </si>
  <si>
    <t>DISTRIBUCIONES MUNDO AGRO ANTIOQUIA</t>
  </si>
  <si>
    <t>AV 26 B 34 50 / 05674 SAN VICENTE / CO</t>
  </si>
  <si>
    <t>DISTRIBUCIONES MUNDO AGRO ANTIOQUIA / AV 26 B 34 50 / 05674 SAN VICENTE / CO</t>
  </si>
  <si>
    <t>AV 26 B 34 50 / 05674 SAN VICENTE</t>
  </si>
  <si>
    <t>SAN VICENTE</t>
  </si>
  <si>
    <t>SONSON</t>
  </si>
  <si>
    <t>184213</t>
  </si>
  <si>
    <t>Capacitación sumitomo</t>
  </si>
  <si>
    <t>Evento y capacitación 
Municipio de Urrao con portafolio 
Sumitomo 
Objetivo dará a conocer el portafolio a los agrónomos de la zona</t>
  </si>
  <si>
    <t>1333192</t>
  </si>
  <si>
    <t>PEREZ Y CARDONA S.A.S. TIERRAGRO MEDELLIN</t>
  </si>
  <si>
    <t>CL 32 48 45 / 05001 MEDELLIN / CO</t>
  </si>
  <si>
    <t>PEREZ Y CARDONA S.A.S. TIERRAGRO MEDELLIN / CL 32 48 45 / 05001 MEDELLIN / CO</t>
  </si>
  <si>
    <t>CL 32 48 45 / 05001 MEDELLIN</t>
  </si>
  <si>
    <t>MEDELLIN</t>
  </si>
  <si>
    <t>184890</t>
  </si>
  <si>
    <t>Capacitación técnica sumitomo</t>
  </si>
  <si>
    <t>1440827</t>
  </si>
  <si>
    <t>LA BODEGA SALAZAR SAS</t>
  </si>
  <si>
    <t>CL 30 28 72 / 05847 URRAO / CO</t>
  </si>
  <si>
    <t>LA BODEGA SALAZAR SAS / CL 30 28 72 / 05847 URRAO / CO</t>
  </si>
  <si>
    <t>CL 30 28 72 / 05847 URRAO</t>
  </si>
  <si>
    <t>186335</t>
  </si>
  <si>
    <t>Traslado de mercancia</t>
  </si>
  <si>
    <t>1149361</t>
  </si>
  <si>
    <t>REGIONAGRO SAS REGIONAGRO SAS</t>
  </si>
  <si>
    <t>CL 49 48 A 18 / 05318 GUARNE / CO</t>
  </si>
  <si>
    <t>REGIONAGRO SAS REGIONAGRO SAS / CL 49 48 A 18 / 05318 GUARNE / CO</t>
  </si>
  <si>
    <t>CL 49 48 A 18 / 05318 GUARNE</t>
  </si>
  <si>
    <t>GUARNE</t>
  </si>
  <si>
    <t>187681</t>
  </si>
  <si>
    <t>Asamblea general</t>
  </si>
  <si>
    <t>188269</t>
  </si>
  <si>
    <t>Capacitacion tecnica</t>
  </si>
  <si>
    <t>1524701</t>
  </si>
  <si>
    <t>SISTREL AGROPECUARIA SAS</t>
  </si>
  <si>
    <t>CL 21 3 15 / 05154 CAUCASIA / CO</t>
  </si>
  <si>
    <t>SISTREL AGROPECUARIA SAS / CL 21 3 15 / 05154 CAUCASIA / CO</t>
  </si>
  <si>
    <t>CL 21 3 15 / 05154 CAUCASIA</t>
  </si>
  <si>
    <t>CAUCASIA</t>
  </si>
  <si>
    <t>189325</t>
  </si>
  <si>
    <t>Asamblea colanta</t>
  </si>
  <si>
    <t>1339061</t>
  </si>
  <si>
    <t>COOPERATIVA COLANTA COOPERATIVA COLANTA</t>
  </si>
  <si>
    <t>CENTRAL GANADERA LOCAL 202 B 202 C / 05001 MEDELLIN / CO</t>
  </si>
  <si>
    <t>COOPERATIVA COLANTA COOPERATIVA COLANTA / CENTRAL GANADERA LOCAL 202 B 202 C / 05001 MEDELLIN / CO</t>
  </si>
  <si>
    <t>CENTRAL GANADERA LOCAL 202 B 202 C / 05001 MEDELLIN</t>
  </si>
  <si>
    <t>SABANETA</t>
  </si>
  <si>
    <t>188819</t>
  </si>
  <si>
    <t>Asamblea general de caficultores</t>
  </si>
  <si>
    <t>1333016</t>
  </si>
  <si>
    <t>COOPERATIVA DE CAFICULTORES DE SALGAR</t>
  </si>
  <si>
    <t>CL 30 28 69 ED CAFE / 05642 SALGAR / CO</t>
  </si>
  <si>
    <t>COOPERATIVA DE CAFICULTORES DE SALGAR / CL 30 28 69 ED CAFE / 05642 SALGAR / CO</t>
  </si>
  <si>
    <t>CL 30 28 69 ED CAFE / 05642 SALGAR</t>
  </si>
  <si>
    <t>SALGAR</t>
  </si>
  <si>
    <t>188642</t>
  </si>
  <si>
    <t>Charla técnica</t>
  </si>
  <si>
    <t>1472002</t>
  </si>
  <si>
    <t>JUAN CARLOS GALLON ANGEL FINCA LA CRUZ</t>
  </si>
  <si>
    <t>VRD LA CASIANA, CERCA A LA FINCA LA CASIANA / 05364 JARDIN / CO</t>
  </si>
  <si>
    <t>JUAN CARLOS GALLON ANGEL FINCA LA CRUZ / VRD LA CASIANA, CERCA A LA FINCA LA CASIANA / 05364 JARDIN</t>
  </si>
  <si>
    <t>VRD LA CASIANA, CERCA A LA FINCA LA CASIANA / 05364 JARDIN</t>
  </si>
  <si>
    <t>188641</t>
  </si>
  <si>
    <t>Cierre de Q y rifa de moto</t>
  </si>
  <si>
    <t>1538036</t>
  </si>
  <si>
    <t>PAREJA QUINTERO OSCAR DE JESUS</t>
  </si>
  <si>
    <t>CR 50 51 16 PAR PPAL / 05034 ANDES / CO</t>
  </si>
  <si>
    <t>PAREJA QUINTERO OSCAR DE JESUS / CR 50 51 16 PAR PPAL / 05034 ANDES / CO</t>
  </si>
  <si>
    <t>CR 50 51 16 PAR PPAL / 05034 ANDES</t>
  </si>
  <si>
    <t>190277</t>
  </si>
  <si>
    <t>Asamblea socios Cooperativa entrerrios</t>
  </si>
  <si>
    <t>1333027</t>
  </si>
  <si>
    <t>COOPERATIVA AGROPECUARIA DE ENTRERRIOS COOAGROPECUARIA</t>
  </si>
  <si>
    <t>CR 11 11 A 42 / 05264 ENTRERRIOS / CO</t>
  </si>
  <si>
    <t>COOPERATIVA AGROPECUARIA DE ENTRERRIOS COOAGROPECUARIA / CR 11 11 A 42 / 05264 ENTRERRIOS / CO</t>
  </si>
  <si>
    <t>CR 11 11 A 42 / 05264 ENTRERRIOS</t>
  </si>
  <si>
    <t>ENTRERRIOS</t>
  </si>
  <si>
    <t>188554</t>
  </si>
  <si>
    <t>Sorteo de la moto y rueda de negocios sumitomo</t>
  </si>
  <si>
    <t>188899</t>
  </si>
  <si>
    <t>Reunion charla asocomunal</t>
  </si>
  <si>
    <t>189353</t>
  </si>
  <si>
    <t>ASAMBLEA DE AFILIADOS AGROCOLANTA</t>
  </si>
  <si>
    <t>1339148</t>
  </si>
  <si>
    <t>CR 46 37 63 / 05001 MEDELLIN / CO</t>
  </si>
  <si>
    <t>COOPERATIVA COLANTA COOPERATIVA COLANTA / CR 46 37 63 / 05001 MEDELLIN / CO</t>
  </si>
  <si>
    <t>CR 46 37 63 / 05001 MEDELLIN</t>
  </si>
  <si>
    <t>atr_desc_empleado</t>
  </si>
  <si>
    <t>Meta Parcelas</t>
  </si>
  <si>
    <t>Cuenta de ID de cliente</t>
  </si>
  <si>
    <t>Meta Actividades</t>
  </si>
  <si>
    <t>Fresa</t>
  </si>
  <si>
    <t>Gulupa</t>
  </si>
  <si>
    <t>Pasto Clima Frío</t>
  </si>
  <si>
    <t>Tomate Invernadero</t>
  </si>
  <si>
    <t>Café</t>
  </si>
  <si>
    <t>atr_cultivo_texto</t>
  </si>
  <si>
    <t>Papa Capira</t>
  </si>
  <si>
    <t>GALAGRO BOYACA NAL.</t>
  </si>
  <si>
    <t>AGROEXPORT DE COLOMBIA SAS</t>
  </si>
  <si>
    <t>META</t>
  </si>
  <si>
    <t>Meta hectareas</t>
  </si>
  <si>
    <t>cultivos</t>
  </si>
  <si>
    <t>(en blanco)</t>
  </si>
  <si>
    <t>Suma de Meta hectareas</t>
  </si>
  <si>
    <t>Valores</t>
  </si>
  <si>
    <t>Suma de cultivos</t>
  </si>
  <si>
    <t>Gestión de Cultivos Impactados</t>
  </si>
  <si>
    <t>182138</t>
  </si>
  <si>
    <t>EVENTO INAUGURACIÓN NUEVA P.V</t>
  </si>
  <si>
    <t>1571715</t>
  </si>
  <si>
    <t>JARAMILLO ZAPATA NATALIA ANDREA MY PETS HUELLITAS CONSENTIDAS</t>
  </si>
  <si>
    <t>Elizabeth Sanmartin Vasquez</t>
  </si>
  <si>
    <t>CR 63 CL 57S 62 / 05088 BELLO / CO</t>
  </si>
  <si>
    <t>EVENTO AGRIPAC</t>
  </si>
  <si>
    <t>PYC NORTE 2 PECUARIA</t>
  </si>
  <si>
    <t>JARAMILLO ZAPATA NATALIA ANDREA MY PETS HUELLITAS CONSENTIDAS / CR 63 CL 57S 62 / 05088 BELLO / CO</t>
  </si>
  <si>
    <t>CR 63 CL 57S 62 / 05088 BELLO</t>
  </si>
  <si>
    <t>BELLO</t>
  </si>
  <si>
    <t>182632</t>
  </si>
  <si>
    <t>Fortalecimiento de conceptos Camporigen</t>
  </si>
  <si>
    <t>1400707</t>
  </si>
  <si>
    <t>John Álvaro Correa Castaño</t>
  </si>
  <si>
    <t>05541 PEÑOL / CO</t>
  </si>
  <si>
    <t>GALAGRO</t>
  </si>
  <si>
    <t>GALAGRO ANTIOQUIA GENERICO / CO</t>
  </si>
  <si>
    <t>PEÑOL</t>
  </si>
  <si>
    <t>182266</t>
  </si>
  <si>
    <t>Gira técnica eje cafetero</t>
  </si>
  <si>
    <t>1400070</t>
  </si>
  <si>
    <t>Juan David Rojas Rivera</t>
  </si>
  <si>
    <t>41551 PITALITO / CO</t>
  </si>
  <si>
    <t>HUILA</t>
  </si>
  <si>
    <t>GALAGRO NACIONAL COORDINACIÓN</t>
  </si>
  <si>
    <t>GALAGRO NACIONAL GENERICO / CO</t>
  </si>
  <si>
    <t>PITALITO</t>
  </si>
  <si>
    <t>182625</t>
  </si>
  <si>
    <t>Gira técnica Café Armenia</t>
  </si>
  <si>
    <t>182708</t>
  </si>
  <si>
    <t>Gira tecnica café</t>
  </si>
  <si>
    <t>182992</t>
  </si>
  <si>
    <t>Visita café norte y charla Cartago gira café</t>
  </si>
  <si>
    <t>182292</t>
  </si>
  <si>
    <t>Aplicación con dron</t>
  </si>
  <si>
    <t>1400056</t>
  </si>
  <si>
    <t>Annuar Andrey Hoyos Muñoz</t>
  </si>
  <si>
    <t>68755 SOCORRO / CO</t>
  </si>
  <si>
    <t>SANTANDER</t>
  </si>
  <si>
    <t>CLAUDIA SARMIENTO LA ESQUINA DEL CAMPO SOCORRO / CO</t>
  </si>
  <si>
    <t>SOCORRO</t>
  </si>
  <si>
    <t>182980</t>
  </si>
  <si>
    <t>Gira vellsam uvio</t>
  </si>
  <si>
    <t>Juan Pablo Valencia Carvajal </t>
  </si>
  <si>
    <t>183177</t>
  </si>
  <si>
    <t>Gira vellsam - uvio</t>
  </si>
  <si>
    <t>Gira por el valle y capacitación a productores y clientes de la zona</t>
  </si>
  <si>
    <t>182073</t>
  </si>
  <si>
    <t>Preparación Inaguración almacén el llano San Pedro</t>
  </si>
  <si>
    <t>1378770</t>
  </si>
  <si>
    <t>EL LLANO DC SAS EL LLANO DC SAS</t>
  </si>
  <si>
    <t>Miguel Andrés León Díaz</t>
  </si>
  <si>
    <t>AV 38 31 200 / 05686 SANTA ROSA DE OSOS / CO</t>
  </si>
  <si>
    <t>EL LLANO DC SAS EL LLANO DC SAS / AV 38 31 200 / 05686 SANTA ROSA DE OSOS / CO</t>
  </si>
  <si>
    <t>AV 38 31 200 / 05686 SANTA ROSA DE OSOS</t>
  </si>
  <si>
    <t>SANTA ROSA DE OSOS</t>
  </si>
  <si>
    <t>179849</t>
  </si>
  <si>
    <t>actividad eje cafetero</t>
  </si>
  <si>
    <t>1407703</t>
  </si>
  <si>
    <t>Juana Andrea Moncaleano Sandoval</t>
  </si>
  <si>
    <t>CL 2E 2E 54 SC CHARCO / 52356 IPIALES / CO</t>
  </si>
  <si>
    <t>NARIÑO</t>
  </si>
  <si>
    <t>PLAGUEX SAS PLAGUEX DISTRIBUIDORA / CL 2E 2E 54 SC CHARCO / 52356 IPIALES / CO</t>
  </si>
  <si>
    <t>CL 2E 2E 54 SC CHARCO / 52356 IPIALES</t>
  </si>
  <si>
    <t>IPIALES</t>
  </si>
  <si>
    <t>179885</t>
  </si>
  <si>
    <t>183298</t>
  </si>
  <si>
    <t>Evento Camporigen y Uvio</t>
  </si>
  <si>
    <t>Katherine Bedoya Rodas</t>
  </si>
  <si>
    <t>GALAGRO OFICINA ANT.</t>
  </si>
  <si>
    <t>183224</t>
  </si>
  <si>
    <t>Gira técnica tomate</t>
  </si>
  <si>
    <t>GALAGRO ANTIOQUIA COORDINACIÓN</t>
  </si>
  <si>
    <t>181938</t>
  </si>
  <si>
    <t>gira tecnica</t>
  </si>
  <si>
    <t>Tatiana Marcela Velasco Vasquez</t>
  </si>
  <si>
    <t>183738</t>
  </si>
  <si>
    <t>Gira tecnica Camporigen Uvio suroeste</t>
  </si>
  <si>
    <t>183753</t>
  </si>
  <si>
    <t>Visita Uvio a la zona</t>
  </si>
  <si>
    <t>Luisa Fernanda Quiceno Restrepo</t>
  </si>
  <si>
    <t>183882</t>
  </si>
  <si>
    <t>Gira tecnica Camporigen Uvio</t>
  </si>
  <si>
    <t>184310</t>
  </si>
  <si>
    <t>Activación de marca nutra pro wallnes</t>
  </si>
  <si>
    <t>1344761</t>
  </si>
  <si>
    <t>PEREZ Y CARDONA S.A.S. TIERRAGRO BELLO</t>
  </si>
  <si>
    <t>Silvana Astrid Molina Pérez</t>
  </si>
  <si>
    <t>DG 50 A 38 20 / 05088 BELLO / CO</t>
  </si>
  <si>
    <t>PYC PECUARIA COORDINACIÓN</t>
  </si>
  <si>
    <t>PEREZ Y CARDONA S.A.S. TIERRAGRO BELLO / DG 50 A 38 20 / 05088 BELLO / CO</t>
  </si>
  <si>
    <t>DG 50 A 38 20 / 05088 BELLO</t>
  </si>
  <si>
    <t>184105</t>
  </si>
  <si>
    <t>toma de almacén</t>
  </si>
  <si>
    <t>1544730</t>
  </si>
  <si>
    <t>Florentino fajardo El campesino</t>
  </si>
  <si>
    <t>19698 SANTANDER DE QUILICHAO / CO</t>
  </si>
  <si>
    <t>CAUCA</t>
  </si>
  <si>
    <t>evento de mostrador especial en día de mercado</t>
  </si>
  <si>
    <t>Florentino fajardo El campesino / 19698 SANTANDER DE QUILICHAO / CO</t>
  </si>
  <si>
    <t>HIDROINICIO 13-40-13 X 1 KG#|HIDROFOLLAJE 30-10-10 X 1 KG#|AMINOPODER X 5 LT#</t>
  </si>
  <si>
    <t>19698 SANTANDER DE QUILICHAO</t>
  </si>
  <si>
    <t>SANTANDER DE QUILICHAO</t>
  </si>
  <si>
    <t>183923</t>
  </si>
  <si>
    <t>Reunion organizacion feria alcaldia la plata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</si>
  <si>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</si>
  <si>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</si>
  <si>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</si>
  <si>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</si>
  <si>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</si>
  <si>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</si>
  <si>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185283</t>
  </si>
  <si>
    <t>1332932</t>
  </si>
  <si>
    <t>VELEZ RICO SANDRA MILENA AGRORICHE SAN CRISTOBAL</t>
  </si>
  <si>
    <t>CL 63 129 A 8 SAN CRISTOBAL / 05001 MEDELLIN / CO</t>
  </si>
  <si>
    <t>VELEZ RICO SANDRA MILENA AGRORICHE SAN CRISTOBAL / CL 63 129 A 8 SAN CRISTOBAL / 05001 MEDELLIN / CO</t>
  </si>
  <si>
    <t>CL 63 129 A 8 SAN CRISTOBAL / 05001 MEDELLIN</t>
  </si>
  <si>
    <t>185176</t>
  </si>
  <si>
    <t>Visita de campo</t>
  </si>
  <si>
    <t>1457056</t>
  </si>
  <si>
    <t>Brarlyn Steven Garcia Castro</t>
  </si>
  <si>
    <t>ALTO DEL MERCADO FINCA #158 / 05440 MARINILLA / CO</t>
  </si>
  <si>
    <t>OCAMPO RAMIREZ JOSE DOMINGO FINCA #158 / ALTO DEL MERCADO FINCA #158 / 05440 MARINILLA / CO</t>
  </si>
  <si>
    <t>ALTO DEL MERCADO FINCA #158 / 05440 MARINILLA</t>
  </si>
  <si>
    <t>MARINILLA</t>
  </si>
  <si>
    <t>185381</t>
  </si>
  <si>
    <t>Ventas</t>
  </si>
  <si>
    <t>1332969</t>
  </si>
  <si>
    <t>HERNANDEZ RUIZ WILSON DE JESUS FERROAGRO EL CAMPESINO</t>
  </si>
  <si>
    <t>Yeison Antonio Arenilla Diaz</t>
  </si>
  <si>
    <t>CR TRONCAL PUERTO VALDIVIA / 05854 VALDIVIA / CO</t>
  </si>
  <si>
    <t>GALAGRO BAJO CAUCA ANT.</t>
  </si>
  <si>
    <t>HERNANDEZ RUIZ WILSON DE JESUS FERROAGRO EL CAMPESINO / CR TRONCAL PUERTO VALDIVIA / 05854 VALDIVIA</t>
  </si>
  <si>
    <t>CR TRONCAL PUERTO VALDIVIA / 05854 VALDIVIA</t>
  </si>
  <si>
    <t>VALDIVIA</t>
  </si>
  <si>
    <t>185473</t>
  </si>
  <si>
    <t>Toma de almacén tierragro medellin</t>
  </si>
  <si>
    <t>1400278</t>
  </si>
  <si>
    <t>PYC PECUARIA GENERICO</t>
  </si>
  <si>
    <t>Camila Rojas García</t>
  </si>
  <si>
    <t>05001 MEDELLÍN / CO</t>
  </si>
  <si>
    <t>Impulso tierragro medellín</t>
  </si>
  <si>
    <t>COLOMBIA - PYC</t>
  </si>
  <si>
    <t>PYC PECUARIA GENERICO / 05001 MEDELLÍN / CO</t>
  </si>
  <si>
    <t>05001 MEDELLÍN</t>
  </si>
  <si>
    <t>MEDELLÍN</t>
  </si>
  <si>
    <t>185446</t>
  </si>
  <si>
    <t>Leidy Astrid Restrepo Acevedo</t>
  </si>
  <si>
    <t>Impulso  tierragro medellin</t>
  </si>
  <si>
    <t>PYC GUILLÉN ANTIOQUIA</t>
  </si>
  <si>
    <t>184225</t>
  </si>
  <si>
    <t>Evento experiencia Tierragro Palmas</t>
  </si>
  <si>
    <t>1340946</t>
  </si>
  <si>
    <t>PEREZ Y CARDONA S.A.S. TIERRAGRO PALMAS</t>
  </si>
  <si>
    <t>Manuela Valencia Patiño</t>
  </si>
  <si>
    <t>KM 16 AV LAS PALMAS LC 29 MALL COMERCIAL LEMONT / 05266 ENVIGADO / CO</t>
  </si>
  <si>
    <t>PEREZ Y CARDONA S.A.S. TIERRAGRO PALMAS / KM 16 AV LAS PALMAS LC 29 MALL COMERCIAL LEMONT / 05266 EN</t>
  </si>
  <si>
    <t>KM 16 AV LAS PALMAS LC 29 MALL COMERCIAL LEMONT / 05266 EN</t>
  </si>
  <si>
    <t>ENVIGADO</t>
  </si>
  <si>
    <t>184298</t>
  </si>
  <si>
    <t>Entrega de obsequios evento t bello</t>
  </si>
  <si>
    <t>185957</t>
  </si>
  <si>
    <t>Feria café Bucaramanga</t>
  </si>
  <si>
    <t>1340587</t>
  </si>
  <si>
    <t>CR 8 20 148 BG 10 / 68001 BUCARAMANGA / CO</t>
  </si>
  <si>
    <t>DISTRIBUCIONES ARAMA LTDA / CR 8 20 148 BG 10 / 68001 BUCARAMANGA / CO</t>
  </si>
  <si>
    <t>CR 8 20 148 BG 10 / 68001 BUCARAMANGA</t>
  </si>
  <si>
    <t>BUCARAMANGA</t>
  </si>
  <si>
    <t>185958</t>
  </si>
  <si>
    <t>186539</t>
  </si>
  <si>
    <t>Aniversario</t>
  </si>
  <si>
    <t>1574935</t>
  </si>
  <si>
    <t>ANIMAL CHAMPION OFICIAL S.A.S.</t>
  </si>
  <si>
    <t>CL 34 80 C 10 / 05001 MEDELLIN / CO</t>
  </si>
  <si>
    <t>ANIMAL CHAMPION OFICIAL S.A.S. / CL 34 80 C 10 / 05001 MEDELLIN / CO</t>
  </si>
  <si>
    <t>CL 34 80 C 10 / 05001 MEDELLIN</t>
  </si>
  <si>
    <t>185959</t>
  </si>
  <si>
    <t>Feria de Bucaramanga</t>
  </si>
  <si>
    <t>186545</t>
  </si>
  <si>
    <t>Evento</t>
  </si>
  <si>
    <t>Tierragro sabaneta</t>
  </si>
  <si>
    <t>186486</t>
  </si>
  <si>
    <t>Paola Andrea Jaramillo García</t>
  </si>
  <si>
    <t>PYC COMUNA 5 Y 11 PECUARIA</t>
  </si>
  <si>
    <t>185960</t>
  </si>
  <si>
    <t>Feria de café Bucaramanga</t>
  </si>
  <si>
    <t>HIDROKOFI 25-4-24 X 25 KG#Recomendación de hidrokofi en la feria con clientes en el departamento de Santander con mayor afluencia de agricultores de Sur de Santander</t>
  </si>
  <si>
    <t>186631</t>
  </si>
  <si>
    <t>Feria agricola villa losasa</t>
  </si>
  <si>
    <t>186598</t>
  </si>
  <si>
    <t>Participacion en charla técnica grupo de productores del municipio de Briceño Boyacá, referidos asistente técnico Ingeniero CAMILO ORTIZ</t>
  </si>
  <si>
    <t>1582331</t>
  </si>
  <si>
    <t>CAMILO ORTIZ NARANJITOS</t>
  </si>
  <si>
    <t>Fredy Alberto Guzmán Daza</t>
  </si>
  <si>
    <t>VEREDA MORAY / 15106 BRICENO / CO</t>
  </si>
  <si>
    <t>BOYACA</t>
  </si>
  <si>
    <t>Charla técnica con productores de guanabana de la vereda MORAY municipio de Briceño Boyacá. Se adjunta fotografía lista de asistencia.</t>
  </si>
  <si>
    <t>CAMILO ORTIZ NARANJITOS / CO</t>
  </si>
  <si>
    <t>BRICENO</t>
  </si>
  <si>
    <t>187686</t>
  </si>
  <si>
    <t>Actividad secretaria envigado</t>
  </si>
  <si>
    <t>GALAGRO NACIONAL GENERICO / 41551 PITALITO / CO</t>
  </si>
  <si>
    <t>41551 PITALITO</t>
  </si>
  <si>
    <t>187710</t>
  </si>
  <si>
    <t>Día de campo Caficultores</t>
  </si>
  <si>
    <t>189006</t>
  </si>
  <si>
    <t>Gira técnica Meta</t>
  </si>
  <si>
    <t>1425648</t>
  </si>
  <si>
    <t>CR 23 5 54 / 50001 VILLAVICENCIO / CO</t>
  </si>
  <si>
    <t>GALAGRO META NAL.</t>
  </si>
  <si>
    <t>AGROEXPORT DE COLOMBIA SAS / CR 23 5 54 / 50001 VILLAVICENCIO / CO</t>
  </si>
  <si>
    <t>CR 23 5 54 / 50001 VILLAVICENCIO</t>
  </si>
  <si>
    <t>VILLAVICENCIO</t>
  </si>
  <si>
    <t>189008</t>
  </si>
  <si>
    <t>Gira técnica Meta .. Palma , semestrales , plátano</t>
  </si>
  <si>
    <t>189051</t>
  </si>
  <si>
    <t>Gira técnica Meta . Sandía Yuca</t>
  </si>
  <si>
    <t>189010</t>
  </si>
  <si>
    <t>Gira técnica Meta . Aguacate</t>
  </si>
  <si>
    <t>190163</t>
  </si>
  <si>
    <t>Evento especial jornada de adopción Eafit</t>
  </si>
  <si>
    <t>190748</t>
  </si>
  <si>
    <t>Charla tecnica agricultores zetaquira</t>
  </si>
  <si>
    <t>1495486</t>
  </si>
  <si>
    <t>VARGAS TENJO NIDIA MAYERLIN AGRODIS SEDE ZETAQUIRA</t>
  </si>
  <si>
    <t>Julio Andrés Cuspoca Martínez</t>
  </si>
  <si>
    <t>Carrera 2#2-60 / 15897 ZETAQUIRA / CO</t>
  </si>
  <si>
    <t>Se realizo reuniom con 25 agricultores donde se expuso el portafolio se toman datos para reali,ar visitas en campo</t>
  </si>
  <si>
    <t>VARGAS TENJO NIDIA MAYERLIN AGRODIS SEDE ZETAQUIRA / Carrera 2#2-60 / 15897 ZETAQUIRA / CO</t>
  </si>
  <si>
    <t>Carrera 2#2-60 / 15897 ZETAQUIRA</t>
  </si>
  <si>
    <t>ZETAQUIRA</t>
  </si>
  <si>
    <t>182770</t>
  </si>
  <si>
    <t>REUNION CON AGRICULTORES DE CAFE ZONA NORTE DEL VALLE</t>
  </si>
  <si>
    <t>César Augusto Escarria Reyes</t>
  </si>
  <si>
    <t>185543</t>
  </si>
  <si>
    <t>Reunion con agricultores en el Municipio de Belen de Umbria</t>
  </si>
  <si>
    <t>Sebastián Zapata Gutiérrez</t>
  </si>
  <si>
    <t>Reunión con agricultores del Municipio de Belén de Umbría con el objetivo de mostrar casos de éxito y resultados y poder crear nuevas oportunidades</t>
  </si>
  <si>
    <t>182288</t>
  </si>
  <si>
    <t>Visita de campo a parcela demostrativa / Quindio</t>
  </si>
  <si>
    <t>Visita de campo junto al equipo galagro y plaguex con el objetivo de observar parcela demostrativa con manejo camporigen - Uvio</t>
  </si>
  <si>
    <t>183816</t>
  </si>
  <si>
    <t>Gira técnica Camporigen Uvio norte</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</si>
  <si>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</si>
  <si>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</si>
  <si>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</si>
  <si>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</si>
  <si>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</si>
  <si>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</si>
  <si>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</si>
  <si>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</si>
  <si>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</si>
  <si>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</si>
  <si>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</si>
  <si>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</si>
  <si>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</si>
  <si>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</si>
  <si>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</si>
  <si>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</si>
  <si>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</si>
  <si>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</si>
  <si>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</si>
  <si>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</si>
  <si>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</si>
  <si>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</si>
  <si>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</si>
  <si>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</si>
  <si>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</si>
  <si>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</si>
  <si>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</si>
  <si>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</si>
  <si>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</si>
  <si>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</si>
  <si>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</si>
  <si>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</si>
  <si>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</si>
  <si>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</si>
  <si>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</si>
  <si>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</si>
  <si>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</si>
  <si>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</si>
  <si>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</si>
  <si>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</si>
  <si>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</si>
  <si>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</si>
  <si>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</si>
  <si>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</si>
  <si>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</si>
  <si>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</si>
  <si>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</si>
  <si>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</si>
  <si>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</si>
  <si>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</si>
  <si>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</si>
  <si>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</si>
  <si>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</si>
  <si>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</si>
  <si>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</si>
  <si>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</si>
  <si>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</si>
  <si>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</si>
  <si>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</si>
  <si>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</si>
  <si>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</si>
  <si>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</si>
  <si>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</si>
  <si>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</si>
  <si>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</si>
  <si>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</si>
  <si>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</si>
  <si>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</si>
  <si>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</si>
  <si>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</si>
  <si>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</si>
  <si>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</si>
  <si>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</si>
  <si>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</si>
  <si>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</si>
  <si>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</si>
  <si>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</si>
  <si>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</si>
  <si>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</si>
  <si>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</si>
  <si>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</si>
  <si>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</si>
  <si>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</si>
  <si>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</si>
  <si>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</si>
  <si>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</si>
  <si>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</si>
  <si>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</si>
  <si>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</si>
  <si>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</si>
  <si>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</si>
  <si>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</si>
  <si>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</si>
  <si>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</si>
  <si>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</si>
  <si>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</si>
  <si>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</si>
  <si>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</si>
  <si>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</si>
  <si>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</si>
  <si>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</si>
  <si>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Meta Esperada prom mes</t>
  </si>
  <si>
    <t>Calificados</t>
  </si>
  <si>
    <t>Gloria Marcela Ramirez Ramirez</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</si>
  <si>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</si>
  <si>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</si>
  <si>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</si>
  <si>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</si>
  <si>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</si>
  <si>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</si>
  <si>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</si>
  <si>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</si>
  <si>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</si>
  <si>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Resultado trimestre</t>
  </si>
  <si>
    <t>Enero-marzo de 2026</t>
  </si>
  <si>
    <t>Meta esperada prom. Mes</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</si>
  <si>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</si>
  <si>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</si>
  <si>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</si>
  <si>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</si>
  <si>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</si>
  <si>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</si>
  <si>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</si>
  <si>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</si>
  <si>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</si>
  <si>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</si>
  <si>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</si>
  <si>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</si>
  <si>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</si>
  <si>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</si>
  <si>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</si>
  <si>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</si>
  <si>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</si>
  <si>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Impacto en clientes (actividades de campo)</t>
  </si>
  <si>
    <t>En desarrollo 
(60% -74 %)</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</si>
  <si>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</si>
  <si>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</si>
  <si>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</si>
  <si>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</si>
  <si>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</si>
  <si>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</si>
  <si>
    <t>Yuri Andrea Garro Sánchez</t>
  </si>
  <si>
    <t>GALAGRO CORDOBA ANT.</t>
  </si>
  <si>
    <t>GALAGRO NORDESTE Y MAG. MEDIO ANT.</t>
  </si>
  <si>
    <t>GALAGRO ORIENTE A ANT.</t>
  </si>
  <si>
    <t>GALAGRO URABA ANT.</t>
  </si>
  <si>
    <t>GALAGRO VALLE DE ABURRA ANT.</t>
  </si>
  <si>
    <t>GALAGRO ANTIOQUIA DIRECCIÓN</t>
  </si>
  <si>
    <t>Estefania Osorio Usuga</t>
  </si>
  <si>
    <t>CAMPORIGEN</t>
  </si>
  <si>
    <t>UVIO</t>
  </si>
  <si>
    <t>Arveja</t>
  </si>
  <si>
    <t>Papa Criolla</t>
  </si>
  <si>
    <t>Gestión real Prom X 3 meses</t>
  </si>
  <si>
    <t>Reporte de desempeño comercial - Individual</t>
  </si>
  <si>
    <t>Reporte de desempeño comercial - Territorio</t>
  </si>
  <si>
    <t>Territorio:</t>
  </si>
  <si>
    <t>Ejecución visitas</t>
  </si>
  <si>
    <t>Gestión enero</t>
  </si>
  <si>
    <t>Gestión febrero</t>
  </si>
  <si>
    <t>Gestión marzo</t>
  </si>
  <si>
    <t>Resumen ejecutivo</t>
  </si>
  <si>
    <t>Mide el porcentaje de leads que fueron calificados dentro del tiempo establecido (48 horas después de generado). Se compara la cantidad de leads calificados oportunamente frente al total de leads que debían ser gestionados en el período.</t>
  </si>
  <si>
    <t>Meta esperada prom. mes</t>
  </si>
  <si>
    <t>GALAGRO NACIONAL DIRECCIÓN</t>
  </si>
  <si>
    <t>GALAGRO NACIONAL FLORES</t>
  </si>
  <si>
    <t>Rafael Ricardo Peña Sánchez</t>
  </si>
  <si>
    <t>GALAGRO CUNDINAMARCA NAL.</t>
  </si>
  <si>
    <t>Yeferson Esmit Ramírez Ruíz</t>
  </si>
  <si>
    <t>GALAGRO NARIÑO NAL.</t>
  </si>
  <si>
    <t>Gustavo Eduardo Mera Florez</t>
  </si>
  <si>
    <t>GALAGRO TOLIMA NAL.</t>
  </si>
  <si>
    <t>GALAGRO VALLE CENTRO NAL.</t>
  </si>
  <si>
    <t>Meta Cobertura Cliente</t>
  </si>
  <si>
    <t>Meta Cobertura Cliente Final</t>
  </si>
  <si>
    <t>Cliente Final Visitados</t>
  </si>
  <si>
    <t>Cobertura Cliente Final</t>
  </si>
  <si>
    <t>Cobertura Cliente Potencial</t>
  </si>
  <si>
    <t>(Vacante) Edwin Francisco Fernandez Molina</t>
  </si>
  <si>
    <t>Jorge Eduardo López Vargas</t>
  </si>
  <si>
    <t>(Vacante) María Camila López López</t>
  </si>
  <si>
    <t>(Vacante) Jessica Nathalia Holguín Leal</t>
  </si>
  <si>
    <t>Angie Cristina Rodríguez Muñoz</t>
  </si>
  <si>
    <t>Juan José Lagos Regalado</t>
  </si>
  <si>
    <t>GALAGRO NORTE DE SANTANDER NAL.</t>
  </si>
  <si>
    <t>Vladimir Leonardo Rondón Basto</t>
  </si>
  <si>
    <t>Meta Clientes Nuevos</t>
  </si>
  <si>
    <t>Ejecución Clientes Nuevos</t>
  </si>
  <si>
    <t>DIR GALAGRO NACIONAL</t>
  </si>
  <si>
    <t>RTC GALAGRO NAL BOYACA</t>
  </si>
  <si>
    <t>PROMOTOR GALAGRO NAL BOYACA</t>
  </si>
  <si>
    <t>PROMOTOR GALAGRO NAL BOYACA 2</t>
  </si>
  <si>
    <t>RTC GALAGRO NAL CAUCA</t>
  </si>
  <si>
    <t>PROMOTOR GALAGRO NAL HUILA</t>
  </si>
  <si>
    <t>PROMOTOR GALAGRO NAL CAUCA</t>
  </si>
  <si>
    <t>RTC GALAGRO NAL META</t>
  </si>
  <si>
    <t>RTC GALAGRO NAL EJE CAFETERO</t>
  </si>
  <si>
    <t>PROMOTOR GALAGRO NAL RISARALDA</t>
  </si>
  <si>
    <t>PROMOTOR GALAGRO NAL CALDAS</t>
  </si>
  <si>
    <t>PROMOTOR GALAGRO NAL QUINDIO</t>
  </si>
  <si>
    <t>RTC GALAGRO NAL HUILA</t>
  </si>
  <si>
    <t>RTC GALAGRO NAL NARIÑO</t>
  </si>
  <si>
    <t>PROMOTOR GALAGRO NAL NARIÑO 2</t>
  </si>
  <si>
    <t>PROMOTOR GALAGRO NAL NARIÑO 3</t>
  </si>
  <si>
    <t>PROMOTOR GALAGRO NAL NORTE SANTANDER 2</t>
  </si>
  <si>
    <t>PROMOTOR GALAGRO NAL SANTANDER</t>
  </si>
  <si>
    <t>Meta Cobertura Cliente Final2</t>
  </si>
  <si>
    <t>Ejecución visitas Cliente Final</t>
  </si>
  <si>
    <t>GALAGRO NACIONAL</t>
  </si>
  <si>
    <t>(Vacante) Silvana Rodríguez Martínez</t>
  </si>
  <si>
    <t>PROMOTOR GALAGRO NAL FLORES</t>
  </si>
  <si>
    <t>Clientes Nuevos</t>
  </si>
  <si>
    <t>Curuba</t>
  </si>
  <si>
    <t>Durazno</t>
  </si>
  <si>
    <t>Granadilla</t>
  </si>
  <si>
    <t>Guayaba Criolla</t>
  </si>
  <si>
    <t>Limón Tahití</t>
  </si>
  <si>
    <t>Lulo</t>
  </si>
  <si>
    <t>Maíz</t>
  </si>
  <si>
    <t>Maracuyá</t>
  </si>
  <si>
    <t>Mora</t>
  </si>
  <si>
    <t>Palma de aceite</t>
  </si>
  <si>
    <t>Papa ICA Única</t>
  </si>
  <si>
    <t>Papa R12</t>
  </si>
  <si>
    <t>Papa Rubí</t>
  </si>
  <si>
    <t>Papa Superior</t>
  </si>
  <si>
    <t>Papayuela</t>
  </si>
  <si>
    <t>Pimentón</t>
  </si>
  <si>
    <t>Tomate de Árbol</t>
  </si>
  <si>
    <t>Uchuva</t>
  </si>
  <si>
    <t>Zanahoria</t>
  </si>
  <si>
    <t>Ahuyama</t>
  </si>
  <si>
    <t>Sandía - Patilla</t>
  </si>
  <si>
    <t>Ajo</t>
  </si>
  <si>
    <t>Meta clientes nuevos</t>
  </si>
  <si>
    <t>182303</t>
  </si>
  <si>
    <t>Capacitacion sumitomo</t>
  </si>
  <si>
    <t>Visita Formación</t>
  </si>
  <si>
    <t>182304</t>
  </si>
  <si>
    <t>Capacitacion agafer</t>
  </si>
  <si>
    <t>179366</t>
  </si>
  <si>
    <t>Manejo C4C con alejandro</t>
  </si>
  <si>
    <t>180096</t>
  </si>
  <si>
    <t>Reunion equipo suroeste y sumitomo</t>
  </si>
  <si>
    <t>182197</t>
  </si>
  <si>
    <t>Congreso nacional de productores de papa</t>
  </si>
  <si>
    <t>1460096</t>
  </si>
  <si>
    <t>GRUPO EMPRESARIAL IMPULSAGRO SEDE VENTORRILLO</t>
  </si>
  <si>
    <t>VEREDA HUERTA GRANDE SECTOR VENTORROLLO / 15104 BOYACA / CO</t>
  </si>
  <si>
    <t>GRUPO EMPRESARIAL IMPULSAGRO SEDE VENTORRILLO / VEREDA HUERTA GRANDE SECTOR VENTORROLLO / 15104 BOYA</t>
  </si>
  <si>
    <t>VEREDA HUERTA GRANDE SECTOR VENTORROLLO / 15104 BOYA</t>
  </si>
  <si>
    <t>183107</t>
  </si>
  <si>
    <t>Capacitación</t>
  </si>
  <si>
    <t>1480607</t>
  </si>
  <si>
    <t>CORDOBA RONALDO COOIMPROSAM</t>
  </si>
  <si>
    <t>52678 SAMANIEGO / CO</t>
  </si>
  <si>
    <t>CORDOBA RONALDO COOIMPROSAM / CO</t>
  </si>
  <si>
    <t>SAMANIEGO</t>
  </si>
  <si>
    <t>180587</t>
  </si>
  <si>
    <t>Capacitación agricultura regenerativa P Y C</t>
  </si>
  <si>
    <t>180919</t>
  </si>
  <si>
    <t>Capacitación Uvio Proveagro, preparación gira técnica Antioquia y reunión con RoyalCondor</t>
  </si>
  <si>
    <t>180271</t>
  </si>
  <si>
    <t>UFIT</t>
  </si>
  <si>
    <t>179845</t>
  </si>
  <si>
    <t>negocio arroz Agroexport</t>
  </si>
  <si>
    <t>1333187</t>
  </si>
  <si>
    <t>CR 7 180 75 MD 1 LC 10 Y 11 / 11001 BOGOTA / CO</t>
  </si>
  <si>
    <t>AGROEXPORT DE COLOMBIA SAS / CR 7 180 75 MD 1 LC 10 Y 11 / 11001 BOGOTA / CO</t>
  </si>
  <si>
    <t>CR 7 180 75 MD 1 LC 10 Y 11 / 11001 BOGOTA</t>
  </si>
  <si>
    <t>179846</t>
  </si>
  <si>
    <t>manejo de arroz</t>
  </si>
  <si>
    <t>179847</t>
  </si>
  <si>
    <t>183069</t>
  </si>
  <si>
    <t>1571055</t>
  </si>
  <si>
    <t>ROMAN PANTOJA LA JARDINERA</t>
  </si>
  <si>
    <t>Via a sapuyes / 52838 TUQUERRES / CO</t>
  </si>
  <si>
    <t>Se realizó capacitación a agricultores de la vereda la jardinera municipio de Tuquerres Nariño</t>
  </si>
  <si>
    <t>ROMAN PANTOJA LA JARDINERA / Via a sapuyes / 52838 TUQUERRES / CO</t>
  </si>
  <si>
    <t>NUCLEO REKOLFOS X 4 LT#Aplicar 500 cc de producto en aspersión foliar 
Realizar aplicaciones consecutivas desde los tres meses y medio en adelante para mejorar calibre y calidad de la producción</t>
  </si>
  <si>
    <t>Via a sapuyes / 52838 TUQUERRES</t>
  </si>
  <si>
    <t>TUQUERRES</t>
  </si>
  <si>
    <t>184625</t>
  </si>
  <si>
    <t>Capacitacion fertipaez</t>
  </si>
  <si>
    <t>185216</t>
  </si>
  <si>
    <t>Capacitación Sumitomo</t>
  </si>
  <si>
    <t>1338162</t>
  </si>
  <si>
    <t>DG 7 19 34 / 05756 SONSON / CO</t>
  </si>
  <si>
    <t>FED COLOMBIANA DE PRODUCTORES DE PAPA FEDEPAPA / DG 7 19 34 / 05756 SONSON / CO</t>
  </si>
  <si>
    <t>DG 7 19 34 / 05756 SONSON</t>
  </si>
  <si>
    <t>185331</t>
  </si>
  <si>
    <t>Capacitación tienda virtual</t>
  </si>
  <si>
    <t>185180</t>
  </si>
  <si>
    <t>Capacitación portafolio</t>
  </si>
  <si>
    <t>1569573</t>
  </si>
  <si>
    <t>Alexander Pantoja Agricola don Juan</t>
  </si>
  <si>
    <t>CALLE 2 A 17 ILES / 52352 ILES / CO</t>
  </si>
  <si>
    <t>Alexander Pantoja Agricola don Juan / CALLE 2 A 17 ILES / 52352 ILES / CO</t>
  </si>
  <si>
    <t>CALLE 2 A 17 ILES / 52352 ILES</t>
  </si>
  <si>
    <t>184961</t>
  </si>
  <si>
    <t>Capacitación yara</t>
  </si>
  <si>
    <t>186270</t>
  </si>
  <si>
    <t>1507835</t>
  </si>
  <si>
    <t>LASSO JANETH AGROTODO LLORENTE</t>
  </si>
  <si>
    <t>LASSO JANETH AGROTODO LLORENTE / CO</t>
  </si>
  <si>
    <t>186785</t>
  </si>
  <si>
    <t>Capacitación técnicos secretaría agricultura de Envigado</t>
  </si>
  <si>
    <t>187081</t>
  </si>
  <si>
    <t>Capacitación nuevo promotor plaguex ipiales</t>
  </si>
  <si>
    <t>188049</t>
  </si>
  <si>
    <t>Actividades productores de café Nariño</t>
  </si>
  <si>
    <t>1472653</t>
  </si>
  <si>
    <t>PLAGUEX SAS</t>
  </si>
  <si>
    <t>CL 15 12 37 / 52001 PASTO / CO</t>
  </si>
  <si>
    <t>PLAGUEX SAS / CL 15 12 37 / 52001 PASTO / CO</t>
  </si>
  <si>
    <t>CL 15 12 37 / 52001 PASTO</t>
  </si>
  <si>
    <t>PASTO</t>
  </si>
  <si>
    <t>188050</t>
  </si>
  <si>
    <t>188618</t>
  </si>
  <si>
    <t>Capacitación tienda virtual Tierragro</t>
  </si>
  <si>
    <t>189370</t>
  </si>
  <si>
    <t>Capacitación de portafolio empresa de drones</t>
  </si>
  <si>
    <t>189617</t>
  </si>
  <si>
    <t>Tips de venta beltanol pdv tierragro y poblaciones</t>
  </si>
  <si>
    <t>1338139</t>
  </si>
  <si>
    <t>PEREZ Y CARDONA S.A.S. TIERRAGRO SABANETA</t>
  </si>
  <si>
    <t>CR 48 60 SUR 68 P2 / 05631 SABANETA / CO</t>
  </si>
  <si>
    <t>PEREZ Y CARDONA S.A.S. TIERRAGRO SABANETA / CR 48 60 SUR 68 P2 / 05631 SABANETA / CO</t>
  </si>
  <si>
    <t>CR 48 60 SUR 68 P2 / 05631 SABANETA</t>
  </si>
  <si>
    <t>189707</t>
  </si>
  <si>
    <t>Capacitacion agripac T palmas</t>
  </si>
  <si>
    <t>189817</t>
  </si>
  <si>
    <t>Capacitación AgroExport</t>
  </si>
  <si>
    <t>1341170</t>
  </si>
  <si>
    <t>CL 14 14 18 BR CENTRO / 50313 GRANADA / CO</t>
  </si>
  <si>
    <t>AGROEXPORT DE COLOMBIA SAS / CL 14 14 18 BR CENTRO / 50313 GRANADA / CO</t>
  </si>
  <si>
    <t>CL 14 14 18 BR CENTRO / 50313 GRANADA</t>
  </si>
  <si>
    <t>189818</t>
  </si>
  <si>
    <t>Capacitación Surtiagri Concordia y agricultores</t>
  </si>
  <si>
    <t>1507482</t>
  </si>
  <si>
    <t>SURTIAGRO CONCORDIA SAS ZOMAC</t>
  </si>
  <si>
    <t>CARRERA 2 CALLE 12 / 50450 PUERTO CONCORDIA / CO</t>
  </si>
  <si>
    <t>SURTIAGRO CONCORDIA SAS ZOMAC / CARRERA 2 CALLE 12 / 50450 PUERTO CONCORDIA / CO</t>
  </si>
  <si>
    <t>CARRERA 2 CALLE 12 / 50450 PUERTO CONCORDIA</t>
  </si>
  <si>
    <t>PUERTO CONCORDIA</t>
  </si>
  <si>
    <t>189819</t>
  </si>
  <si>
    <t>Capacitaciones agricultores y mostrador</t>
  </si>
  <si>
    <t>1484965</t>
  </si>
  <si>
    <t>DISTRIBUIDORA AGROUNION SAS ZOMAC DISTRIBUIDORA AGROUNION SAS ZOMAC</t>
  </si>
  <si>
    <t>Via Cacayal centro poblado calle principal / 50313 GRANADA / CO</t>
  </si>
  <si>
    <t>DISTRIBUIDORA AGROUNION SAS ZOMAC DISTRIBUIDORA AGROUNION SAS ZOMAC / Via Cacayal centro poblado cal</t>
  </si>
  <si>
    <t>Via Cacayal centro poblado cal</t>
  </si>
  <si>
    <t>190169</t>
  </si>
  <si>
    <t>Capacitacion tierragro bello</t>
  </si>
  <si>
    <t>Capacitación agripac</t>
  </si>
  <si>
    <t>190446</t>
  </si>
  <si>
    <t>Capacitación geles</t>
  </si>
  <si>
    <t>Empresa exportadora de uchuva</t>
  </si>
  <si>
    <t>190697</t>
  </si>
  <si>
    <t>Charla tecnica</t>
  </si>
  <si>
    <t>Almacén señora Mónica Escobar municipio de Pupiales</t>
  </si>
  <si>
    <t>189693</t>
  </si>
  <si>
    <t>Capacitación agripac T Medellin</t>
  </si>
  <si>
    <t>189389</t>
  </si>
  <si>
    <t>Capacitación palmicultores</t>
  </si>
  <si>
    <t>1569574</t>
  </si>
  <si>
    <t>NORLANDER ORTEGA ASPRIELLA</t>
  </si>
  <si>
    <t>52835 SAN ANDRÉS DE TUMACO / CO</t>
  </si>
  <si>
    <t>NORLANDER ORTEGA ASPRIELLA / 52835 SAN ANDRÉS DE TUMACO / CO</t>
  </si>
  <si>
    <t>52835 SAN ANDRÉS DE TUMACO</t>
  </si>
  <si>
    <t>SAN ANDRÉS DE TUMACO</t>
  </si>
  <si>
    <t>Mide cuántos clientes del territorio fueron visitados frente a la meta mensual asignada. Se calcula con el promedio de clientes visitados durante los meses evaluados y se compara contra la meta de cobertura. La meta no se acumula entre meses. Si el resultado supera la meta, el cumplimiento máximo reconocido es del 100%.</t>
  </si>
  <si>
    <t>PROMOTOR GALAGRO NAL CUNDINAMARCA</t>
  </si>
  <si>
    <t>Mide el cumplimiento de referencias gestionadas frente a la meta esperada del período. Se suman las referencias generadas durante los meses evaluados y se comparan contra la meta mensual de SKU activas multiplicada por el número de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</si>
</sst>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 numFmtId="173" formatCode="_-&quot;$&quot;\ * #,##0_-;\-&quot;$&quot;\ * #,##0_-;_-&quot;$&quot;\ * &quot;-&quot;??_-;_-@_-"/>
  </numFmts>
  <fonts count="3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8"/>
      <name val="Aptos Narrow"/>
      <family val="2"/>
      <scheme val="minor"/>
    </font>
    <font>
      <b/>
      <sz val="68"/>
      <color theme="0"/>
      <name val="Aptos Narrow"/>
      <family val="2"/>
      <scheme val="minor"/>
    </font>
    <font>
      <b/>
      <sz val="11"/>
      <color theme="0"/>
      <name val="Aptos Narrow"/>
    </font>
    <font>
      <sz val="11"/>
      <color theme="1"/>
      <name val="Aptos Narrow"/>
    </font>
    <font>
      <u/>
      <sz val="11"/>
      <color theme="10"/>
      <name val="Aptos Narrow"/>
      <family val="2"/>
      <scheme val="minor"/>
    </font>
    <font>
      <b/>
      <sz val="11"/>
      <name val="Calibri"/>
    </font>
  </fonts>
  <fills count="1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rgb="FFFFFF00"/>
        <bgColor indexed="64"/>
      </patternFill>
    </fill>
    <fill>
      <patternFill patternType="solid">
        <fgColor theme="4"/>
        <bgColor theme="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FF000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4" tint="0.39997558519241921"/>
      </top>
      <bottom style="thin">
        <color auto="1"/>
      </bottom>
      <diagonal/>
    </border>
    <border>
      <left/>
      <right style="thin">
        <color theme="4" tint="0.39997558519241921"/>
      </right>
      <top style="thin">
        <color theme="4" tint="0.39997558519241921"/>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8">
    <xf numFmtId="0" fontId="0" fillId="0" borderId="0"/>
    <xf numFmtId="9" fontId="6" fillId="0" borderId="0" applyFont="0" applyFill="0" applyBorder="0" applyAlignment="0" applyProtection="0"/>
    <xf numFmtId="44" fontId="6" fillId="0" borderId="0" applyFont="0" applyFill="0" applyBorder="0" applyAlignment="0" applyProtection="0"/>
    <xf numFmtId="0" fontId="12" fillId="7" borderId="17">
      <alignment vertical="center" wrapText="1"/>
    </xf>
    <xf numFmtId="49" fontId="13" fillId="0" borderId="17">
      <alignment horizontal="left" vertical="center" wrapText="1"/>
    </xf>
    <xf numFmtId="168" fontId="13" fillId="0" borderId="17">
      <alignment horizontal="left" vertical="center" wrapText="1"/>
    </xf>
    <xf numFmtId="1" fontId="13" fillId="0" borderId="17">
      <alignment vertical="center" wrapText="1"/>
    </xf>
    <xf numFmtId="0" fontId="29" fillId="0" borderId="0" applyNumberFormat="0" applyFill="0" applyBorder="0" applyAlignment="0" applyProtection="0"/>
  </cellStyleXfs>
  <cellXfs count="326">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0" xfId="0" applyFill="1" applyAlignment="1">
      <alignment horizontal="center"/>
    </xf>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3" fillId="0" borderId="17" xfId="4">
      <alignment horizontal="left" vertical="center" wrapText="1"/>
    </xf>
    <xf numFmtId="168" fontId="13" fillId="0" borderId="17" xfId="5">
      <alignment horizontal="left" vertical="center" wrapText="1"/>
    </xf>
    <xf numFmtId="1" fontId="13" fillId="0" borderId="17"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1"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0" fillId="0" borderId="18" xfId="0" applyBorder="1"/>
    <xf numFmtId="0" fontId="0" fillId="8" borderId="15" xfId="0" applyFill="1" applyBorder="1"/>
    <xf numFmtId="0" fontId="12" fillId="5" borderId="17" xfId="3" applyFill="1">
      <alignment vertical="center" wrapText="1"/>
    </xf>
    <xf numFmtId="0" fontId="0" fillId="0" borderId="2" xfId="0" applyBorder="1"/>
    <xf numFmtId="0" fontId="2" fillId="0" borderId="18"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9" fontId="0" fillId="5" borderId="0" xfId="1" applyFont="1" applyFill="1" applyBorder="1" applyAlignment="1">
      <alignment horizontal="center" vertical="center"/>
    </xf>
    <xf numFmtId="1" fontId="0" fillId="5" borderId="5" xfId="1" applyNumberFormat="1" applyFon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8" borderId="0" xfId="0" applyFill="1"/>
    <xf numFmtId="0" fontId="2" fillId="6" borderId="0" xfId="0" applyFont="1" applyFill="1"/>
    <xf numFmtId="0" fontId="13" fillId="0" borderId="17" xfId="4" applyNumberFormat="1">
      <alignment horizontal="left" vertical="center" wrapText="1"/>
    </xf>
    <xf numFmtId="171" fontId="0" fillId="0" borderId="0" xfId="0" applyNumberForma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0" xfId="0" applyFont="1" applyFill="1" applyBorder="1" applyAlignment="1">
      <alignment horizontal="center" vertical="center" wrapText="1"/>
    </xf>
    <xf numFmtId="169" fontId="11" fillId="5" borderId="20" xfId="2" applyNumberFormat="1" applyFont="1" applyFill="1" applyBorder="1" applyAlignment="1">
      <alignment horizontal="left" vertical="center" wrapText="1"/>
    </xf>
    <xf numFmtId="1" fontId="11" fillId="5" borderId="20" xfId="2" applyNumberFormat="1" applyFont="1" applyFill="1" applyBorder="1" applyAlignment="1">
      <alignment horizontal="left" vertical="center" wrapText="1"/>
    </xf>
    <xf numFmtId="9" fontId="11" fillId="5" borderId="20" xfId="1" applyFont="1" applyFill="1" applyBorder="1" applyAlignment="1">
      <alignment horizontal="left" vertical="center" wrapText="1"/>
    </xf>
    <xf numFmtId="170" fontId="11" fillId="5" borderId="20" xfId="2" applyNumberFormat="1" applyFont="1" applyFill="1" applyBorder="1" applyAlignment="1">
      <alignment horizontal="left" vertical="center" wrapText="1"/>
    </xf>
    <xf numFmtId="1" fontId="11" fillId="5" borderId="20" xfId="1" applyNumberFormat="1" applyFont="1" applyFill="1" applyBorder="1" applyAlignment="1">
      <alignment horizontal="left" vertical="center" wrapText="1"/>
    </xf>
    <xf numFmtId="1" fontId="11" fillId="5" borderId="10" xfId="1" applyNumberFormat="1" applyFont="1" applyFill="1" applyBorder="1" applyAlignment="1">
      <alignment horizontal="left" vertical="center" wrapText="1"/>
    </xf>
    <xf numFmtId="0" fontId="17" fillId="0" borderId="0" xfId="0" applyFont="1"/>
    <xf numFmtId="0" fontId="19"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0" fillId="0" borderId="0" xfId="0" applyFont="1"/>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1" fillId="5" borderId="13" xfId="2" applyNumberFormat="1" applyFont="1" applyFill="1" applyBorder="1" applyAlignment="1">
      <alignment horizontal="center" vertical="center"/>
    </xf>
    <xf numFmtId="170" fontId="11"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1" fillId="5" borderId="12" xfId="2" applyNumberFormat="1" applyFont="1" applyFill="1" applyBorder="1" applyAlignment="1">
      <alignment horizontal="center" vertical="center"/>
    </xf>
    <xf numFmtId="169" fontId="11" fillId="5" borderId="13" xfId="2"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1" fillId="5" borderId="9" xfId="1" applyNumberFormat="1" applyFont="1" applyFill="1" applyBorder="1" applyAlignment="1">
      <alignment horizontal="left" vertical="center" wrapText="1"/>
    </xf>
    <xf numFmtId="0" fontId="9" fillId="2" borderId="20" xfId="0" applyFont="1" applyFill="1" applyBorder="1" applyAlignment="1">
      <alignment horizontal="center" vertical="center"/>
    </xf>
    <xf numFmtId="0" fontId="21" fillId="4" borderId="1" xfId="0" applyFont="1" applyFill="1" applyBorder="1"/>
    <xf numFmtId="0" fontId="21" fillId="4" borderId="2" xfId="0" applyFont="1" applyFill="1" applyBorder="1"/>
    <xf numFmtId="0" fontId="23" fillId="2" borderId="25" xfId="0" applyFont="1" applyFill="1" applyBorder="1" applyAlignment="1">
      <alignment horizontal="center" vertical="center" wrapText="1"/>
    </xf>
    <xf numFmtId="0" fontId="23" fillId="2" borderId="25" xfId="0" applyFont="1" applyFill="1" applyBorder="1" applyAlignment="1">
      <alignment horizontal="center" vertical="center"/>
    </xf>
    <xf numFmtId="0" fontId="23" fillId="2" borderId="26" xfId="0" applyFont="1" applyFill="1" applyBorder="1" applyAlignment="1">
      <alignment horizontal="center" vertical="center" wrapText="1"/>
    </xf>
    <xf numFmtId="0" fontId="18" fillId="5" borderId="11" xfId="0" applyFont="1" applyFill="1" applyBorder="1" applyAlignment="1">
      <alignment horizontal="center" vertical="center"/>
    </xf>
    <xf numFmtId="0" fontId="23" fillId="5" borderId="12" xfId="0" applyFont="1" applyFill="1" applyBorder="1" applyAlignment="1">
      <alignment horizontal="center" vertical="center" wrapText="1"/>
    </xf>
    <xf numFmtId="0" fontId="23" fillId="5" borderId="12" xfId="0" applyFont="1" applyFill="1" applyBorder="1" applyAlignment="1">
      <alignment horizontal="center" vertical="center"/>
    </xf>
    <xf numFmtId="9" fontId="18" fillId="5" borderId="12" xfId="1" applyFont="1" applyFill="1" applyBorder="1" applyAlignment="1">
      <alignment horizontal="center" vertical="center"/>
    </xf>
    <xf numFmtId="9" fontId="18" fillId="5" borderId="12" xfId="0" applyNumberFormat="1" applyFont="1" applyFill="1" applyBorder="1" applyAlignment="1">
      <alignment horizontal="center" vertical="center"/>
    </xf>
    <xf numFmtId="1" fontId="18" fillId="5" borderId="12" xfId="1" applyNumberFormat="1" applyFont="1" applyFill="1" applyBorder="1" applyAlignment="1">
      <alignment horizontal="center" vertical="center"/>
    </xf>
    <xf numFmtId="1" fontId="18" fillId="5" borderId="13" xfId="1" applyNumberFormat="1" applyFont="1" applyFill="1" applyBorder="1" applyAlignment="1">
      <alignment horizontal="center" vertical="center"/>
    </xf>
    <xf numFmtId="0" fontId="23" fillId="2" borderId="13" xfId="0" applyFont="1" applyFill="1" applyBorder="1" applyAlignment="1">
      <alignment horizontal="center" vertical="center" wrapText="1"/>
    </xf>
    <xf numFmtId="1" fontId="18" fillId="5" borderId="13" xfId="2"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0" borderId="0" xfId="0" applyFont="1"/>
    <xf numFmtId="0" fontId="23" fillId="5" borderId="0" xfId="0" applyFont="1" applyFill="1" applyAlignment="1">
      <alignment horizontal="center" vertical="center"/>
    </xf>
    <xf numFmtId="9" fontId="18" fillId="5" borderId="0" xfId="1" applyFont="1" applyFill="1" applyBorder="1" applyAlignment="1">
      <alignment horizontal="center" vertical="center"/>
    </xf>
    <xf numFmtId="9" fontId="18" fillId="5" borderId="0" xfId="0" applyNumberFormat="1" applyFont="1" applyFill="1" applyAlignment="1">
      <alignment horizontal="center" vertical="center"/>
    </xf>
    <xf numFmtId="1" fontId="18" fillId="5" borderId="0" xfId="1" applyNumberFormat="1" applyFont="1" applyFill="1" applyBorder="1" applyAlignment="1">
      <alignment horizontal="center" vertical="center"/>
    </xf>
    <xf numFmtId="0" fontId="18" fillId="5" borderId="0" xfId="2" applyNumberFormat="1" applyFont="1" applyFill="1" applyBorder="1" applyAlignment="1">
      <alignment horizontal="center" vertical="center"/>
    </xf>
    <xf numFmtId="0" fontId="18" fillId="5" borderId="5" xfId="2" applyNumberFormat="1" applyFont="1" applyFill="1" applyBorder="1" applyAlignment="1">
      <alignment horizontal="center" vertical="center"/>
    </xf>
    <xf numFmtId="0" fontId="23" fillId="5" borderId="20" xfId="0" applyFont="1" applyFill="1" applyBorder="1" applyAlignment="1">
      <alignment horizontal="center" vertical="center" wrapText="1"/>
    </xf>
    <xf numFmtId="0" fontId="0" fillId="0" borderId="20" xfId="0" applyBorder="1" applyAlignment="1">
      <alignment horizontal="center" vertical="center" wrapText="1"/>
    </xf>
    <xf numFmtId="2" fontId="0" fillId="0" borderId="0" xfId="1" applyNumberFormat="1" applyFont="1"/>
    <xf numFmtId="0" fontId="23" fillId="2" borderId="20" xfId="0" applyFont="1" applyFill="1" applyBorder="1" applyAlignment="1">
      <alignment horizontal="center" vertical="center" wrapText="1"/>
    </xf>
    <xf numFmtId="9" fontId="23" fillId="2" borderId="20" xfId="0" applyNumberFormat="1" applyFont="1" applyFill="1" applyBorder="1" applyAlignment="1">
      <alignment horizontal="center" vertical="center" wrapText="1"/>
    </xf>
    <xf numFmtId="0" fontId="18" fillId="5" borderId="7" xfId="0" applyFont="1" applyFill="1" applyBorder="1"/>
    <xf numFmtId="0" fontId="18" fillId="5" borderId="8" xfId="0" applyFont="1" applyFill="1" applyBorder="1"/>
    <xf numFmtId="0" fontId="24" fillId="5" borderId="12" xfId="0" applyFont="1" applyFill="1" applyBorder="1" applyAlignment="1">
      <alignment horizontal="center" vertical="center" wrapText="1"/>
    </xf>
    <xf numFmtId="169" fontId="18" fillId="5" borderId="12" xfId="2" applyNumberFormat="1" applyFont="1" applyFill="1" applyBorder="1" applyAlignment="1">
      <alignment horizontal="center" vertical="center"/>
    </xf>
    <xf numFmtId="169" fontId="18"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1" fillId="0" borderId="20" xfId="2" applyNumberFormat="1" applyFont="1" applyFill="1" applyBorder="1" applyAlignment="1">
      <alignment horizontal="left" vertical="center" wrapText="1"/>
    </xf>
    <xf numFmtId="9" fontId="17" fillId="0" borderId="0" xfId="1" applyFont="1"/>
    <xf numFmtId="0" fontId="18" fillId="0" borderId="6" xfId="0" applyFont="1" applyBorder="1"/>
    <xf numFmtId="0" fontId="18" fillId="0" borderId="7" xfId="0" applyFont="1" applyBorder="1"/>
    <xf numFmtId="0" fontId="9" fillId="5" borderId="20" xfId="0" applyFont="1" applyFill="1" applyBorder="1" applyAlignment="1">
      <alignment horizontal="center" vertical="center"/>
    </xf>
    <xf numFmtId="0" fontId="2" fillId="2" borderId="25" xfId="0" applyFont="1" applyFill="1" applyBorder="1" applyAlignment="1">
      <alignment horizontal="center" vertical="center" wrapText="1"/>
    </xf>
    <xf numFmtId="0" fontId="9" fillId="5" borderId="0" xfId="0" applyFont="1" applyFill="1" applyAlignment="1">
      <alignment vertical="top"/>
    </xf>
    <xf numFmtId="0" fontId="23" fillId="5" borderId="20" xfId="0" applyFont="1" applyFill="1" applyBorder="1" applyAlignment="1">
      <alignment horizontal="center" vertical="center"/>
    </xf>
    <xf numFmtId="0" fontId="0" fillId="0" borderId="0" xfId="0" applyAlignment="1">
      <alignment horizontal="center" vertical="center" wrapText="1"/>
    </xf>
    <xf numFmtId="9" fontId="0" fillId="0" borderId="14" xfId="1" applyFont="1" applyBorder="1" applyAlignment="1">
      <alignment horizontal="center" vertical="center" wrapText="1"/>
    </xf>
    <xf numFmtId="0" fontId="27" fillId="9" borderId="37" xfId="0" applyFont="1" applyFill="1" applyBorder="1" applyAlignment="1">
      <alignment wrapText="1"/>
    </xf>
    <xf numFmtId="0" fontId="27" fillId="9" borderId="38" xfId="0" applyFont="1" applyFill="1" applyBorder="1" applyAlignment="1">
      <alignment wrapText="1"/>
    </xf>
    <xf numFmtId="1" fontId="28" fillId="6" borderId="39" xfId="0" applyNumberFormat="1" applyFont="1" applyFill="1" applyBorder="1"/>
    <xf numFmtId="164" fontId="28" fillId="6" borderId="40" xfId="0" applyNumberFormat="1" applyFont="1" applyFill="1" applyBorder="1"/>
    <xf numFmtId="1" fontId="28" fillId="0" borderId="39" xfId="0" applyNumberFormat="1" applyFont="1" applyBorder="1"/>
    <xf numFmtId="164" fontId="28" fillId="0" borderId="40" xfId="0" applyNumberFormat="1" applyFont="1" applyBorder="1"/>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1" applyFont="1" applyFill="1" applyAlignment="1">
      <alignment horizontal="center" vertical="center"/>
    </xf>
    <xf numFmtId="1" fontId="14" fillId="0" borderId="0" xfId="0" applyNumberFormat="1" applyFont="1" applyAlignment="1">
      <alignment horizontal="center" vertical="center"/>
    </xf>
    <xf numFmtId="0" fontId="0" fillId="0" borderId="19" xfId="0" applyBorder="1" applyAlignment="1">
      <alignment horizontal="center" vertical="center"/>
    </xf>
    <xf numFmtId="0" fontId="2" fillId="0" borderId="19" xfId="0" applyFont="1" applyBorder="1" applyAlignment="1">
      <alignment horizontal="center" vertical="center"/>
    </xf>
    <xf numFmtId="0" fontId="0" fillId="0" borderId="19" xfId="0" applyBorder="1" applyAlignment="1">
      <alignment wrapText="1"/>
    </xf>
    <xf numFmtId="0" fontId="0" fillId="0" borderId="19" xfId="0" applyBorder="1"/>
    <xf numFmtId="0" fontId="16" fillId="0" borderId="19" xfId="0" applyFont="1" applyBorder="1"/>
    <xf numFmtId="0" fontId="29" fillId="0" borderId="0" xfId="7"/>
    <xf numFmtId="0" fontId="0" fillId="6" borderId="18" xfId="0" applyFill="1" applyBorder="1"/>
    <xf numFmtId="3" fontId="0" fillId="8" borderId="0" xfId="0" applyNumberFormat="1" applyFill="1" applyAlignment="1">
      <alignment horizontal="center" vertical="center"/>
    </xf>
    <xf numFmtId="3" fontId="0" fillId="3" borderId="0" xfId="0" applyNumberFormat="1" applyFill="1" applyAlignment="1">
      <alignment horizontal="center" vertical="center"/>
    </xf>
    <xf numFmtId="0" fontId="2" fillId="10" borderId="19" xfId="0" applyFont="1" applyFill="1" applyBorder="1" applyAlignment="1">
      <alignment horizontal="center" vertical="center"/>
    </xf>
    <xf numFmtId="0" fontId="0" fillId="10" borderId="19" xfId="0" applyFill="1" applyBorder="1" applyAlignment="1">
      <alignment horizontal="center" vertical="center"/>
    </xf>
    <xf numFmtId="3" fontId="0" fillId="11" borderId="0" xfId="0" applyNumberFormat="1" applyFill="1" applyAlignment="1">
      <alignment horizontal="center" vertical="center"/>
    </xf>
    <xf numFmtId="3" fontId="0" fillId="12" borderId="0" xfId="0" applyNumberFormat="1" applyFill="1" applyAlignment="1">
      <alignment horizontal="center" vertical="center"/>
    </xf>
    <xf numFmtId="3" fontId="30" fillId="0" borderId="0" xfId="0" applyNumberFormat="1" applyFont="1" applyAlignment="1">
      <alignment horizontal="center" vertical="center"/>
    </xf>
    <xf numFmtId="164" fontId="30" fillId="0" borderId="0" xfId="0" applyNumberFormat="1" applyFont="1" applyAlignment="1">
      <alignment horizontal="center" vertical="center"/>
    </xf>
    <xf numFmtId="1" fontId="30" fillId="0" borderId="0" xfId="0" applyNumberFormat="1" applyFont="1" applyAlignment="1">
      <alignment horizontal="center" vertical="center"/>
    </xf>
    <xf numFmtId="2" fontId="30" fillId="0" borderId="0" xfId="0" applyNumberFormat="1" applyFont="1" applyAlignment="1">
      <alignment horizontal="center" vertical="center"/>
    </xf>
    <xf numFmtId="9" fontId="30" fillId="0" borderId="0" xfId="1" applyFont="1" applyFill="1" applyAlignment="1">
      <alignment horizontal="center" vertical="center"/>
    </xf>
    <xf numFmtId="0" fontId="0" fillId="13" borderId="19" xfId="0" applyFill="1" applyBorder="1" applyAlignment="1">
      <alignment horizontal="center" vertical="center"/>
    </xf>
    <xf numFmtId="0" fontId="21" fillId="4" borderId="2" xfId="0" applyFont="1" applyFill="1" applyBorder="1" applyAlignment="1">
      <alignment horizontal="center" vertical="center" wrapText="1"/>
    </xf>
    <xf numFmtId="0" fontId="21" fillId="4" borderId="0" xfId="0" applyFont="1" applyFill="1" applyAlignment="1">
      <alignment horizontal="center" vertical="center" wrapText="1"/>
    </xf>
    <xf numFmtId="0" fontId="2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27"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23" fillId="5" borderId="11" xfId="0" applyFont="1" applyFill="1" applyBorder="1" applyAlignment="1">
      <alignment horizontal="center" vertical="center"/>
    </xf>
    <xf numFmtId="0" fontId="23" fillId="5" borderId="12" xfId="0" applyFont="1" applyFill="1" applyBorder="1" applyAlignment="1">
      <alignment horizontal="center" vertical="center"/>
    </xf>
    <xf numFmtId="0" fontId="23" fillId="5" borderId="1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1" fillId="4" borderId="0" xfId="0" applyFont="1" applyFill="1" applyAlignment="1">
      <alignment horizontal="center" vertical="center"/>
    </xf>
    <xf numFmtId="0" fontId="21" fillId="4" borderId="7" xfId="0" applyFont="1" applyFill="1" applyBorder="1" applyAlignment="1">
      <alignment horizontal="center" vertical="center"/>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9" fontId="26" fillId="0" borderId="1" xfId="0" applyNumberFormat="1" applyFont="1" applyBorder="1" applyAlignment="1">
      <alignment horizontal="center" vertical="center"/>
    </xf>
    <xf numFmtId="9" fontId="26" fillId="0" borderId="2" xfId="0" applyNumberFormat="1" applyFont="1" applyBorder="1" applyAlignment="1">
      <alignment horizontal="center" vertical="center"/>
    </xf>
    <xf numFmtId="9" fontId="26" fillId="0" borderId="3" xfId="0" applyNumberFormat="1" applyFont="1" applyBorder="1" applyAlignment="1">
      <alignment horizontal="center" vertical="center"/>
    </xf>
    <xf numFmtId="9" fontId="26" fillId="0" borderId="4" xfId="0" applyNumberFormat="1" applyFont="1" applyBorder="1" applyAlignment="1">
      <alignment horizontal="center" vertical="center"/>
    </xf>
    <xf numFmtId="9" fontId="26" fillId="0" borderId="0" xfId="0" applyNumberFormat="1" applyFont="1" applyAlignment="1">
      <alignment horizontal="center" vertical="center"/>
    </xf>
    <xf numFmtId="9" fontId="26" fillId="0" borderId="5" xfId="0" applyNumberFormat="1" applyFont="1" applyBorder="1" applyAlignment="1">
      <alignment horizontal="center" vertical="center"/>
    </xf>
    <xf numFmtId="0" fontId="21" fillId="4" borderId="4" xfId="0" applyFont="1" applyFill="1" applyBorder="1" applyAlignment="1">
      <alignment horizontal="center"/>
    </xf>
    <xf numFmtId="0" fontId="21" fillId="4" borderId="0" xfId="0" applyFont="1" applyFill="1" applyAlignment="1">
      <alignment horizont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1" fillId="4" borderId="13"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6" xfId="0" applyFont="1" applyFill="1" applyBorder="1" applyAlignment="1">
      <alignment horizontal="center" vertical="center"/>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3" xfId="0" applyFont="1" applyFill="1" applyBorder="1" applyAlignment="1">
      <alignment horizontal="center"/>
    </xf>
    <xf numFmtId="0" fontId="21" fillId="4" borderId="0" xfId="0" applyFont="1" applyFill="1" applyAlignment="1">
      <alignment horizontal="center" wrapText="1"/>
    </xf>
    <xf numFmtId="0" fontId="21" fillId="4" borderId="5" xfId="0" applyFont="1" applyFill="1" applyBorder="1" applyAlignment="1">
      <alignment horizontal="center" wrapText="1"/>
    </xf>
    <xf numFmtId="0" fontId="1" fillId="4" borderId="0" xfId="0" applyFont="1" applyFill="1" applyAlignment="1">
      <alignment horizontal="center"/>
    </xf>
    <xf numFmtId="0" fontId="1" fillId="4" borderId="5" xfId="0" applyFont="1" applyFill="1" applyBorder="1" applyAlignment="1">
      <alignment horizontal="center"/>
    </xf>
    <xf numFmtId="0" fontId="21" fillId="4" borderId="8" xfId="0" applyFont="1" applyFill="1" applyBorder="1" applyAlignment="1">
      <alignment horizontal="center"/>
    </xf>
    <xf numFmtId="0" fontId="23" fillId="2" borderId="24" xfId="0" applyFont="1" applyFill="1" applyBorder="1" applyAlignment="1">
      <alignment horizontal="center" vertical="center" wrapText="1"/>
    </xf>
    <xf numFmtId="0" fontId="23" fillId="2" borderId="25" xfId="0" applyFont="1" applyFill="1" applyBorder="1" applyAlignment="1">
      <alignment horizontal="center" vertical="center" wrapText="1"/>
    </xf>
    <xf numFmtId="0" fontId="1" fillId="4" borderId="4" xfId="0" applyFont="1" applyFill="1" applyBorder="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9"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23" fillId="2" borderId="13" xfId="0" applyFont="1" applyFill="1" applyBorder="1" applyAlignment="1">
      <alignment horizontal="center" vertical="center" wrapText="1"/>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1" fillId="4" borderId="1" xfId="0" applyFont="1" applyFill="1" applyBorder="1" applyAlignment="1">
      <alignment horizont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0" fillId="5" borderId="9"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10" xfId="0"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8" fillId="0" borderId="1" xfId="0" applyFont="1" applyBorder="1" applyAlignment="1">
      <alignment horizontal="center"/>
    </xf>
    <xf numFmtId="0" fontId="18" fillId="0" borderId="2" xfId="0" applyFont="1" applyBorder="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21" fillId="4" borderId="5" xfId="0" applyFont="1" applyFill="1" applyBorder="1" applyAlignment="1">
      <alignment horizontal="center"/>
    </xf>
    <xf numFmtId="44" fontId="0" fillId="0" borderId="0" xfId="2" applyNumberFormat="1" applyFont="1"/>
    <xf numFmtId="173" fontId="0" fillId="0" borderId="0" xfId="2" applyNumberFormat="1" applyFont="1"/>
  </cellXfs>
  <cellStyles count="8">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Hipervínculo" xfId="7" builtinId="8"/>
    <cellStyle name="Moneda" xfId="2" builtinId="4"/>
    <cellStyle name="Normal" xfId="0" builtinId="0"/>
    <cellStyle name="Porcentaje" xfId="1" builtinId="5"/>
  </cellStyles>
  <dxfs count="95">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numFmt numFmtId="3" formatCode="#,##0"/>
    </dxf>
    <dxf>
      <numFmt numFmtId="3" formatCode="#,##0"/>
    </dxf>
    <dxf>
      <border diagonalUp="0" diagonalDown="0">
        <left/>
        <right style="thin">
          <color auto="1"/>
        </right>
        <top/>
        <bottom/>
        <vertical/>
        <horizontal/>
      </border>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ill>
        <patternFill patternType="solid">
          <fgColor indexed="64"/>
          <bgColor theme="0"/>
        </patternFill>
      </fill>
    </dxf>
    <dxf>
      <alignment wrapText="1"/>
    </dxf>
    <dxf>
      <alignment wrapText="1"/>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alignment horizontal="general" vertical="top" textRotation="0" wrapText="0" indent="0" justifyLastLine="0" shrinkToFit="0" readingOrder="0"/>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explosion val="1"/>
            <c:spPr>
              <a:noFill/>
              <a:ln w="19050">
                <a:noFill/>
              </a:ln>
              <a:effectLst/>
            </c:spPr>
            <c:extLst>
              <c:ext xmlns:c16="http://schemas.microsoft.com/office/drawing/2014/chart" uri="{C3380CC4-5D6E-409C-BE32-E72D297353CC}">
                <c16:uniqueId val="{00000005-34BC-426A-B46B-033BFE904476}"/>
              </c:ext>
            </c:extLst>
          </c:dPt>
          <c:val>
            <c:numRef>
              <c:f>mensual!$N$9:$N$11</c:f>
              <c:numCache>
                <c:formatCode>General</c:formatCode>
                <c:ptCount val="3"/>
                <c:pt idx="0">
                  <c:v>22.080083256617307</c:v>
                </c:pt>
                <c:pt idx="1">
                  <c:v>77.919916743382686</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territorio'!$L$8:$L$10</c:f>
              <c:numCache>
                <c:formatCode>General</c:formatCode>
                <c:ptCount val="3"/>
                <c:pt idx="0">
                  <c:v>0</c:v>
                </c:pt>
                <c:pt idx="1">
                  <c:v>0</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Trimestre!$K$8:$K$10</c:f>
              <c:numCache>
                <c:formatCode>0%</c:formatCode>
                <c:ptCount val="3"/>
                <c:pt idx="0">
                  <c:v>0</c:v>
                </c:pt>
                <c:pt idx="1">
                  <c:v>0</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5.0078471248246856</c:v>
                </c:pt>
                <c:pt idx="1">
                  <c:v>94.992152875175321</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284163</xdr:colOff>
      <xdr:row>6</xdr:row>
      <xdr:rowOff>109539</xdr:rowOff>
    </xdr:from>
    <xdr:to>
      <xdr:col>10</xdr:col>
      <xdr:colOff>1597026</xdr:colOff>
      <xdr:row>14</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9">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22%</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257174</xdr:colOff>
      <xdr:row>5</xdr:row>
      <xdr:rowOff>34926</xdr:rowOff>
    </xdr:from>
    <xdr:to>
      <xdr:col>8</xdr:col>
      <xdr:colOff>1758949</xdr:colOff>
      <xdr:row>13</xdr:row>
      <xdr:rowOff>234949</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#¡DIV/0!</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48931</xdr:colOff>
      <xdr:row>5</xdr:row>
      <xdr:rowOff>141941</xdr:rowOff>
    </xdr:from>
    <xdr:to>
      <xdr:col>8</xdr:col>
      <xdr:colOff>1546038</xdr:colOff>
      <xdr:row>13</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0.37978</cdr:x>
      <cdr:y>0.30059</cdr:y>
    </cdr:from>
    <cdr:to>
      <cdr:x>0.55855</cdr:x>
      <cdr:y>0.59441</cdr:y>
    </cdr:to>
    <cdr:sp macro="" textlink="Trimestre!$L$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489785" y="684557"/>
          <a:ext cx="701280" cy="6691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ctr"/>
          <a:fld id="{56478B07-45D3-4072-A123-4775DD487740}" type="TxLink">
            <a:rPr lang="en-US" sz="2400" b="1" i="0" u="none" strike="noStrike" kern="1200">
              <a:solidFill>
                <a:srgbClr val="217346"/>
              </a:solidFill>
              <a:latin typeface="Aptos Narrow"/>
              <a:ea typeface="+mn-ea"/>
              <a:cs typeface="+mn-cs"/>
            </a:rPr>
            <a:pPr marL="0" indent="0" algn="ctr"/>
            <a:t>#¡DIV/0!</a:t>
          </a:fld>
          <a:endParaRPr lang="es-CO" sz="2400" b="1" i="0" u="none" strike="noStrike" kern="1200">
            <a:solidFill>
              <a:srgbClr val="217346"/>
            </a:solidFill>
            <a:latin typeface="Aptos Narrow"/>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5%</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r:id="rId2"/>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224.67167048611" createdVersion="8" refreshedVersion="8" minRefreshableVersion="3" recordCount="32" xr:uid="{CCFFCA0C-DFBD-43B0-847D-BC481F259DE8}">
  <cacheSource type="worksheet">
    <worksheetSource ref="M1:U1048576" sheet="Tabla dinam gestion comercial" r:id="rId2"/>
  </cacheSource>
  <cacheFields count="9">
    <cacheField name="Comercial" numFmtId="0">
      <sharedItems containsBlank="1"/>
    </cacheField>
    <cacheField name="Territorio" numFmtId="0">
      <sharedItems containsBlank="1" count="21">
        <m/>
        <s v="GALAGRO ANTIOQUIA DIRECCIÓN"/>
        <s v="GALAGRO BAJO CAUCA ANT."/>
        <s v="GALAGRO CORDOBA ANT."/>
        <s v="GALAGRO URABA ANT."/>
        <s v="GALAGRO NORDESTE Y MAG. MEDIO ANT."/>
        <s v="GALAGRO NORTE ANT."/>
        <s v="GALAGRO ORIENTE B ANT."/>
        <s v="GALAGRO VALLE DE ABURRA ANT."/>
        <s v="GALAGRO ORIENTE A ANT."/>
        <s v="GALAGRO SUROESTE ANT."/>
        <s v="GALAGRO OFICINA ANT."/>
        <s v="PYC AGRÍCOLA ANT BAJO CAUCA" u="1"/>
        <s v="PYC AGRÍCOLA ANT CÓRDOBA" u="1"/>
        <s v="PYC AGRÍCOLA ANT NORTE" u="1"/>
        <s v="PYC AGRÍCOLA ANT ORIENTE A" u="1"/>
        <s v="PYC AGRÍCOLA ANT ORIENTE B" u="1"/>
        <s v="PYC AGRÍCOLA ANT SUROESTE" u="1"/>
        <s v="PYC AGRÍCOLA ANT URABÁ" u="1"/>
        <s v="PYC AGRÍCOLA ANT VALLE ABURRÁ" u="1"/>
        <s v="PYC AGRÍCOLA ANTIOQUIA DIRECCIÓN" u="1"/>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14"/>
    </cacheField>
    <cacheField name="Meta Actividades" numFmtId="0">
      <sharedItems containsString="0" containsBlank="1" containsNumber="1" containsInteger="1" minValue="3" maxValue="84"/>
    </cacheField>
    <cacheField name="META" numFmtId="0">
      <sharedItems containsString="0" containsBlank="1" containsNumber="1" minValue="3.5" maxValue="98"/>
    </cacheField>
    <cacheField name="Meta hectareas" numFmtId="0">
      <sharedItems containsString="0" containsBlank="1" containsNumber="1" containsInteger="1" minValue="30" maxValue="840"/>
    </cacheField>
    <cacheField name="cultivos" numFmtId="0">
      <sharedItems containsString="0" containsBlank="1" containsNumber="1" containsInteger="1" minValue="3" maxValue="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m/>
    <x v="0"/>
    <m/>
    <m/>
    <m/>
    <m/>
    <m/>
    <m/>
    <m/>
  </r>
  <r>
    <s v="Yuri Andrea Garro Sánchez"/>
    <x v="1"/>
    <s v="DIR GALAGRO ANTIOQUIA"/>
    <s v="GALAGRO"/>
    <n v="14"/>
    <n v="84"/>
    <n v="98"/>
    <n v="840"/>
    <n v="84"/>
  </r>
  <r>
    <s v="Yeison Antonio Arenilla Diaz"/>
    <x v="2"/>
    <s v="RC GALAGRO BAJO CAUCA"/>
    <s v="GALAGRO"/>
    <n v="0.5"/>
    <n v="3"/>
    <n v="3.5"/>
    <n v="30"/>
    <n v="3"/>
  </r>
  <r>
    <s v="Karen Paola Hernández Pacheco"/>
    <x v="3"/>
    <s v="RTC GALAGRO CORDOBA"/>
    <s v="GALAGRO"/>
    <n v="0.5"/>
    <n v="3"/>
    <n v="3.5"/>
    <n v="30"/>
    <n v="3"/>
  </r>
  <r>
    <s v="Stefanía Builes Rodríguez"/>
    <x v="4"/>
    <s v="RTC GALAGRO URABA"/>
    <s v="GALAGRO"/>
    <n v="1"/>
    <n v="6"/>
    <n v="7"/>
    <n v="60"/>
    <n v="6"/>
  </r>
  <r>
    <s v="(vacante) Maria Alejandra Duque Laverde"/>
    <x v="5"/>
    <s v="PROMOTOR GALAGRO NORDESTE ANT"/>
    <s v="GALAGRO"/>
    <n v="0.5"/>
    <n v="3"/>
    <n v="3.5"/>
    <n v="30"/>
    <n v="3"/>
  </r>
  <r>
    <s v="Luisa Fernanda Quiceno Restrepo"/>
    <x v="6"/>
    <s v="RC GALAGRO NORTE ANT"/>
    <s v="GALAGRO"/>
    <n v="1"/>
    <n v="6"/>
    <n v="7"/>
    <n v="60"/>
    <n v="6"/>
  </r>
  <r>
    <s v="Norbey Fernando Montoya Grajales"/>
    <x v="7"/>
    <s v="RC GALAGRO ORIENTE B ANT"/>
    <s v="GALAGRO"/>
    <n v="1"/>
    <n v="6"/>
    <n v="7"/>
    <n v="60"/>
    <n v="6"/>
  </r>
  <r>
    <s v="Katherine Bedoya Rodas"/>
    <x v="8"/>
    <s v="RC GALAGRO VALLE DE ABURRA"/>
    <s v="GALAGRO"/>
    <n v="1"/>
    <n v="6"/>
    <n v="7"/>
    <n v="60"/>
    <n v="6"/>
  </r>
  <r>
    <s v="Geovanny Andres Monsalve Garcia"/>
    <x v="9"/>
    <s v="RC GALAGRO ORIENTE A ANT"/>
    <s v="GALAGRO"/>
    <n v="1"/>
    <n v="6"/>
    <n v="7"/>
    <n v="60"/>
    <n v="6"/>
  </r>
  <r>
    <s v="Mónica Lucero Valencia Montoya"/>
    <x v="10"/>
    <s v="RC GALAGRO SUROESTE ANT"/>
    <s v="GALAGRO"/>
    <n v="1"/>
    <n v="6"/>
    <n v="7"/>
    <n v="60"/>
    <n v="6"/>
  </r>
  <r>
    <s v="(Vacante) Karen Paola Hernandez Pacheco"/>
    <x v="3"/>
    <s v="PROMOTOR GALAGRO CORDOBA"/>
    <s v="GALAGRO"/>
    <n v="0.5"/>
    <n v="3"/>
    <n v="3.5"/>
    <n v="30"/>
    <n v="3"/>
  </r>
  <r>
    <s v="Miguel Andrés León Díaz"/>
    <x v="6"/>
    <s v="PROMOTOR GALAGRO NORTE ANT"/>
    <s v="GALAGRO"/>
    <n v="1"/>
    <n v="6"/>
    <n v="7"/>
    <n v="60"/>
    <n v="6"/>
  </r>
  <r>
    <s v="Estefania Osorio Usuga"/>
    <x v="11"/>
    <s v="PROMOTOR GALAGRO VALLE DE ABURRA"/>
    <s v="GALAGRO"/>
    <n v="0.5"/>
    <n v="3"/>
    <n v="3.5"/>
    <n v="30"/>
    <n v="3"/>
  </r>
  <r>
    <s v="Alexander Marulanda Vera"/>
    <x v="9"/>
    <s v="PROMOTOR GALAGRO ORIENTE A ANT"/>
    <s v="GALAGRO"/>
    <n v="1"/>
    <n v="6"/>
    <n v="7"/>
    <n v="60"/>
    <n v="6"/>
  </r>
  <r>
    <s v="Brarlyn Steven Garcia Castro"/>
    <x v="7"/>
    <s v="PROMOTOR GALAGRO ORIENTE B ANT"/>
    <s v="GALAGRO"/>
    <n v="1"/>
    <n v="6"/>
    <n v="7"/>
    <n v="60"/>
    <n v="6"/>
  </r>
  <r>
    <s v="John Álvaro Correa Castaño"/>
    <x v="10"/>
    <s v="PROMOTOR GALAGRO SUROESTE ANT"/>
    <s v="GALAGRO"/>
    <n v="1"/>
    <n v="6"/>
    <n v="7"/>
    <n v="60"/>
    <n v="6"/>
  </r>
  <r>
    <s v="(Vacante) José Eliécer Borja David"/>
    <x v="4"/>
    <s v="PROMOTOR GALAGRO URABA"/>
    <s v="GALAGRO"/>
    <n v="1"/>
    <n v="6"/>
    <n v="7"/>
    <n v="60"/>
    <n v="6"/>
  </r>
  <r>
    <s v="Estefania Osorio Usuga"/>
    <x v="8"/>
    <s v="PROMOTOR GALAGRO VALLE DE ABURRA"/>
    <s v="GALAGRO"/>
    <n v="0.5"/>
    <n v="3"/>
    <n v="3.5"/>
    <n v="30"/>
    <n v="3"/>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4"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79">
      <pivotArea dataOnly="0" labelOnly="1" outline="0" fieldPosition="0">
        <references count="1">
          <reference field="5" count="0"/>
        </references>
      </pivotArea>
    </format>
    <format dxfId="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5"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22">
        <item m="1" x="12"/>
        <item m="1" x="13"/>
        <item m="1" x="14"/>
        <item m="1" x="15"/>
        <item m="1" x="16"/>
        <item m="1" x="17"/>
        <item m="1" x="18"/>
        <item m="1" x="19"/>
        <item m="1" x="20"/>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3">
    <i>
      <x v="9"/>
    </i>
    <i>
      <x v="10"/>
    </i>
    <i>
      <x v="11"/>
    </i>
    <i>
      <x v="12"/>
    </i>
    <i>
      <x v="13"/>
    </i>
    <i>
      <x v="14"/>
    </i>
    <i>
      <x v="15"/>
    </i>
    <i>
      <x v="16"/>
    </i>
    <i>
      <x v="17"/>
    </i>
    <i>
      <x v="18"/>
    </i>
    <i>
      <x v="19"/>
    </i>
    <i>
      <x v="20"/>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M98" totalsRowShown="0" headerRowDxfId="94" headerRowBorderDxfId="93">
  <autoFilter ref="A1:M98" xr:uid="{F66533CA-2EAE-423E-8947-9F7A85A9F12D}"/>
  <tableColumns count="13">
    <tableColumn id="1" xr3:uid="{E9348DC1-25D7-43E5-BCFF-71C4622EB90B}" name="Territorio" dataDxfId="92"/>
    <tableColumn id="2" xr3:uid="{8E79968D-7ECA-43E1-AE07-7740085AE709}" name="Empleado" dataDxfId="91"/>
    <tableColumn id="3" xr3:uid="{E7690C2C-E812-4847-92D3-C90DEE2C0358}" name="Meta Cobertura Cliente" dataDxfId="90"/>
    <tableColumn id="4" xr3:uid="{1990EBAB-C140-4702-89E4-0210A42BDF28}" name="Clientes Visitados" dataDxfId="89"/>
    <tableColumn id="5" xr3:uid="{FEFE6C55-012C-472F-90D2-374E9253BFD3}" name="Cobertura Clientes" dataDxfId="88"/>
    <tableColumn id="6" xr3:uid="{CEE55799-E1C0-4894-8A3B-8E97797F8957}" name="Meta Cobertura Cliente Final" dataDxfId="87"/>
    <tableColumn id="7" xr3:uid="{44248436-EB0E-4951-BE18-7CD69A853D5B}" name="Cliente Final Visitados" dataDxfId="86"/>
    <tableColumn id="8" xr3:uid="{B0AF98ED-B02B-40DC-8BBF-AB14BED7E5E6}" name="Cobertura Cliente Final" dataDxfId="85" dataCellStyle="Porcentaje"/>
    <tableColumn id="9" xr3:uid="{F4D241E2-89DE-4396-AA3E-9607A94D1007}" name="Meta clientes nuevos" dataDxfId="84"/>
    <tableColumn id="10" xr3:uid="{9923A0F6-34C0-4406-B19A-47A0F5C8C4CC}" name="Clientes Nuevos" dataDxfId="83"/>
    <tableColumn id="13" xr3:uid="{89F641B7-DC55-4E17-8D77-EE3032C4982A}" name="Cobertura Cliente Potencial" dataDxfId="82"/>
    <tableColumn id="11" xr3:uid="{746C9D0E-041D-4F0E-B222-F2CD91CCF732}" name="Mes" dataDxfId="81"/>
    <tableColumn id="12" xr3:uid="{C611E80B-3B1E-47C0-8683-606895341A7D}" name="Meta Cobertura Cliente Final2" dataDxfId="80">
      <calculatedColumnFormula>Tabla18[[#This Row],[Meta Cobertura Cliente]]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70" headerRowDxfId="77">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CellStyle="_SAP_BYD_TABLE_CELL_TEXT">
      <calculatedColumnFormula>TEXT(L2,"mmmm")</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76" headerRowBorderDxfId="75">
  <autoFilter ref="B1:J10" xr:uid="{01F16120-6C14-47D1-A869-457ADEC4EC6B}"/>
  <tableColumns count="9">
    <tableColumn id="1" xr3:uid="{008D0629-8679-402C-A146-2DD8690A00C4}" name="Unidad de Negocio" dataDxfId="74"/>
    <tableColumn id="2" xr3:uid="{890EAFDC-0F4D-4948-8ECE-9E8FD3B7CFF6}" name="Empleado" dataDxfId="73"/>
    <tableColumn id="3" xr3:uid="{CA4CAE61-DCE6-453D-A800-37594BE03114}" name="Meta Leads" dataDxfId="72"/>
    <tableColumn id="4" xr3:uid="{D100C0DF-7297-47F5-949E-E5DCF7E598C7}" name="Calificados Oportunos" dataDxfId="71"/>
    <tableColumn id="5" xr3:uid="{3FDC4987-DAB7-467E-9AC0-F25223A6EA56}" name="Fuera de Tiempo" dataDxfId="70"/>
    <tableColumn id="6" xr3:uid="{DFDB5718-6950-4949-9083-7A5221EBCE06}" name="Leads calificados" dataDxfId="69"/>
    <tableColumn id="7" xr3:uid="{3A54D86B-F59A-4583-A2A0-821BFEAA05B2}" name="Pendientes" dataDxfId="68"/>
    <tableColumn id="9" xr3:uid="{1F13B36A-05A1-4164-A618-294C67A87DA2}" name="Mes" dataDxfId="67"/>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DCDA9-FEEC-4494-BB68-760CE19D485B}" name="Tabla2" displayName="Tabla2" ref="A1:K79" totalsRowShown="0" headerRowDxfId="66" headerRowBorderDxfId="65">
  <autoFilter ref="A1:K79" xr:uid="{A7DDCDA9-FEEC-4494-BB68-760CE19D485B}">
    <filterColumn colId="0">
      <filters>
        <filter val="GALAGRO NORTE DE SANTANDER NAL."/>
        <filter val="GALAGRO SANTANDER NAL."/>
      </filters>
    </filterColumn>
  </autoFilter>
  <tableColumns count="11">
    <tableColumn id="1" xr3:uid="{5FC142E9-2EEA-418F-9F86-193B4F45E4FE}" name="Territorio" dataDxfId="64"/>
    <tableColumn id="2" xr3:uid="{C4A4B953-C9BE-4357-BD91-16B24F32E3B2}" name="Grupo Artículos" dataDxfId="63"/>
    <tableColumn id="3" xr3:uid="{CD062E16-549D-4031-9B0D-A6F68050AD0C}" name="Ppto" dataDxfId="62"/>
    <tableColumn id="4" xr3:uid="{217A297C-E235-407C-B811-36C1D3C5ED54}" name="Valor Recomendaciones" dataDxfId="61"/>
    <tableColumn id="5" xr3:uid="{39AD7C47-B955-44D4-8FE7-BED439E01DFE}" name="Recomendaciones vs Ppto" dataDxfId="60"/>
    <tableColumn id="6" xr3:uid="{0158E81F-48CB-4017-B1B6-FF1658A87ABA}" name="Valor Ventas" dataDxfId="59"/>
    <tableColumn id="7" xr3:uid="{5AB52629-966D-4E05-8565-C0CCD8F27225}" name="% Paticipación Recomendación" dataDxfId="58"/>
    <tableColumn id="8" xr3:uid="{C549B987-28EA-4E46-95F2-EA8B7EBF71F8}" name="Meta Referencias" dataDxfId="57"/>
    <tableColumn id="9" xr3:uid="{A059BE30-4CF6-40F7-A0D9-C320C29AA0D4}" name="Referencias Recomendadas"/>
    <tableColumn id="10" xr3:uid="{41A3722F-BF3D-41F3-8F61-F5714BC3EC59}" name="REF CANTIDAD" dataDxfId="56">
      <calculatedColumnFormula>Tabla2[[#This Row],[Referencias Recomendadas]]*Tabla2[[#This Row],[Meta Referencias]]</calculatedColumnFormula>
    </tableColumn>
    <tableColumn id="11" xr3:uid="{B7307607-7B77-4CB5-9F4F-D0E5083FBEA2}" name="Mes" dataDxfId="5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57" totalsRowShown="0" headerRowBorderDxfId="54">
  <tableColumns count="7">
    <tableColumn id="1" xr3:uid="{433744F4-DD42-4C17-8F05-529E92D5D953}" name="Unidad de Negocio" dataDxfId="53"/>
    <tableColumn id="2" xr3:uid="{E1D0EC93-7309-4D8A-BDDF-ADADE17FDE5E}" name="des_territorio" dataDxfId="52"/>
    <tableColumn id="3" xr3:uid="{5F651759-1627-4D2C-B3FF-3D28EEA73A26}" name="atr_desc_empleado" dataDxfId="51"/>
    <tableColumn id="4" xr3:uid="{C4793952-6F9D-41EE-BAF9-32D24161682B}" name="atr_cultivo_texto" dataDxfId="50"/>
    <tableColumn id="5" xr3:uid="{45514867-9CA5-455A-B42F-0DB50B5041DE}" name="# Fincas" dataDxfId="49"/>
    <tableColumn id="6" xr3:uid="{4671D357-5F14-46F7-A361-40D747FF1546}" name="Héctareas" dataDxfId="48"/>
    <tableColumn id="7" xr3:uid="{E7CC8829-C2BD-4DBE-BE6F-AAEFAAF11331}" name="M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5" dT="2026-06-05T15:13:15.52" personId="{97714360-0F13-45B6-8A65-06DC7DBF86A1}" id="{26CBE949-0F5A-4D94-BDE1-ABD6B13953B7}">
    <text>La cantidad total de clientes en el territorio para los comerciales, deben dar la vuelta a todos los clientes en el mes</text>
  </threadedComment>
  <threadedComment ref="K15" dT="2026-06-17T20:27:36.61" personId="{97714360-0F13-45B6-8A65-06DC7DBF86A1}" id="{27280B6D-E8C3-4DA1-AB89-D43BE0975EFF}">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6" dT="2026-06-01T19:55:26.08" personId="{97714360-0F13-45B6-8A65-06DC7DBF86A1}" id="{BE2F6E56-50F0-449B-9743-D87D93781B92}">
    <text>Los clientes que recuperen los comerciales es el resultado de la gestion</text>
  </threadedComment>
  <threadedComment ref="D16" dT="2026-06-01T20:00:34.89" personId="{97714360-0F13-45B6-8A65-06DC7DBF86A1}" id="{F19E5F24-0880-4A16-8E5C-D728A64AA98D}" parentId="{BE2F6E56-50F0-449B-9743-D87D93781B92}">
    <text>La meta esperada no es acumulable es dividido 3</text>
  </threadedComment>
  <threadedComment ref="J16" dT="2026-06-05T15:13:45.19" personId="{97714360-0F13-45B6-8A65-06DC7DBF86A1}" id="{A601AC13-2891-4974-89E2-B60AC523F43A}">
    <text>La cobertura se esta dividiendo X 3</text>
  </threadedComment>
  <threadedComment ref="J17" dT="2026-06-05T15:14:42.69" personId="{97714360-0F13-45B6-8A65-06DC7DBF86A1}" id="{4FA4758A-AAE1-4FBC-8218-ACE36D2EC0C9}">
    <text>Divide los clientes totales a recuperar por 12 meses</text>
  </threadedComment>
  <threadedComment ref="B19" dT="2026-06-01T20:11:35.98" personId="{97714360-0F13-45B6-8A65-06DC7DBF86A1}" id="{ADA2B3A1-0A9F-421C-9804-4B01075B9E69}">
    <text>Gestión de todo el equipo</text>
  </threadedComment>
  <threadedComment ref="J20" dT="2026-06-05T15:15:28.56" personId="{97714360-0F13-45B6-8A65-06DC7DBF86A1}" id="{A5903D35-9F89-4AD3-8AA8-17631372513B}">
    <text>Recomendaciones, par amedir el indicador si dejamos todo el portafolio o ponemos una meta fija mientras suben los numeros</text>
  </threadedComment>
  <threadedComment ref="D22" dT="2026-06-01T19:46:31.77" personId="{97714360-0F13-45B6-8A65-06DC7DBF86A1}" id="{C6739D95-5610-4660-99BA-C0A8EC44E387}">
    <text xml:space="preserve">Si no tiene leads, es 0, y la meta total del indicador es sobre 80
</text>
  </threadedComment>
  <threadedComment ref="D22"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2" dT="2026-06-17T14:46:16.86" personId="{97714360-0F13-45B6-8A65-06DC7DBF86A1}" id="{7936BA74-4A07-4C7B-8080-151E601AA695}">
    <text xml:space="preserve">Poner N/A Si es cero
incluir una columna con definiciones
</text>
  </threadedComment>
  <threadedComment ref="D23" dT="2026-06-01T19:46:43.55" personId="{97714360-0F13-45B6-8A65-06DC7DBF86A1}" id="{996AA890-04C2-44E7-B0F1-BBB1FD08CB49}">
    <text>No aplica si no tiene leads</text>
  </threadedComment>
  <threadedComment ref="D23" dT="2026-06-09T14:17:12.26" personId="{97714360-0F13-45B6-8A65-06DC7DBF86A1}" id="{0683A018-A4F1-4AFB-925A-D47AD37EC1B2}" parentId="{996AA890-04C2-44E7-B0F1-BBB1FD08CB49}">
    <text>En una nueva validación acordamos que si suma al indicador aunque no tenga leads</text>
  </threadedComment>
  <threadedComment ref="D24" dT="2026-06-01T19:50:16.61" personId="{97714360-0F13-45B6-8A65-06DC7DBF86A1}" id="{26BCC79E-D307-432C-BDDF-003A1421DC13}">
    <text>Revisar la meta según los promotores</text>
  </threadedComment>
  <threadedComment ref="D25" dT="2026-06-01T19:51:43.81" personId="{97714360-0F13-45B6-8A65-06DC7DBF86A1}" id="{18DA04DB-8FCA-4F82-80A5-D61309F29F0E}">
    <text>30 por promotor</text>
  </threadedComment>
  <threadedComment ref="J25" dT="2026-06-09T14:22:59.43" personId="{97714360-0F13-45B6-8A65-06DC7DBF86A1}" id="{A1473161-0F63-485F-9D0B-C9AFC4DD4F8C}">
    <text>Le suman al indicador 30 hectáreas por promotor</text>
  </threadedComment>
  <threadedComment ref="D26" dT="2026-06-01T19:54:21.22" personId="{97714360-0F13-45B6-8A65-06DC7DBF86A1}" id="{53C8E696-C718-4D11-9C77-21AEB641BD20}">
    <text>Son 428 clientes y se divide entre 12 y cada mes se acumula el 8,33%</text>
  </threadedComment>
  <threadedComment ref="J26" dT="2026-06-09T14:21:05.99" personId="{97714360-0F13-45B6-8A65-06DC7DBF86A1}" id="{F75351B9-EDFE-41A4-B942-B80BB4E13D06}">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H14" dT="2026-06-05T15:13:15.52" personId="{97714360-0F13-45B6-8A65-06DC7DBF86A1}" id="{8DCA311A-07F6-4D32-8BD5-41C1EDC6E31E}">
    <text>La cantidad total de clientes en el territorio para los comerciales, deben dar la vuelta a todos los clientes en el mes</text>
  </threadedComment>
  <threadedComment ref="I14"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A22092C-AA8C-435C-8123-FE68C7619A6D}">
    <text>Los clientes que recuperen los comerciales es el resultado de la gestion</text>
  </threadedComment>
  <threadedComment ref="D15" dT="2026-06-01T20:00:34.89" personId="{97714360-0F13-45B6-8A65-06DC7DBF86A1}" id="{E5F44D30-5973-4FFE-A746-B9EB3C26A47E}" parentId="{2A22092C-AA8C-435C-8123-FE68C7619A6D}">
    <text>La meta esperada no es acumulable es dividido 3</text>
  </threadedComment>
  <threadedComment ref="H15" dT="2026-06-05T15:13:45.19" personId="{97714360-0F13-45B6-8A65-06DC7DBF86A1}" id="{B48FDD09-0934-40D1-BEA8-D005A4C12E1B}">
    <text>La cobertura se esta dividiendo X 3</text>
  </threadedComment>
  <threadedComment ref="H16" dT="2026-06-05T15:14:42.69" personId="{97714360-0F13-45B6-8A65-06DC7DBF86A1}" id="{54BE2095-FD94-43DB-8155-6FD88DDACE12}">
    <text>Divide los clientes totales a recuperar por 12 meses</text>
  </threadedComment>
  <threadedComment ref="B18" dT="2026-06-01T20:11:35.98" personId="{97714360-0F13-45B6-8A65-06DC7DBF86A1}" id="{7D7D6652-D16B-4E32-B857-4EC0491571A7}">
    <text>Gestión de todo el equipo</text>
  </threadedComment>
  <threadedComment ref="H19" dT="2026-06-05T15:15:28.56" personId="{97714360-0F13-45B6-8A65-06DC7DBF86A1}" id="{60F96C19-CC06-4EEE-9E84-2250E62ADDC2}">
    <text>Recomendaciones, par amedir el indicador si dejamos todo el portafolio o ponemos una meta fija mientras suben los numeros</text>
  </threadedComment>
  <threadedComment ref="D21" dT="2026-06-01T19:46:31.77" personId="{97714360-0F13-45B6-8A65-06DC7DBF86A1}" id="{E4478C96-C7BF-4027-8984-23DAD104B24B}">
    <text xml:space="preserve">Si no tiene leads, es 0, y la meta total del indicador es sobre 80
</text>
  </threadedComment>
  <threadedComment ref="D21"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2" dT="2026-06-01T19:46:43.55" personId="{97714360-0F13-45B6-8A65-06DC7DBF86A1}" id="{18B680A7-1C19-430E-8722-1FC2841A7D1B}">
    <text>No aplica si no tiene leads</text>
  </threadedComment>
  <threadedComment ref="D22" dT="2026-06-09T14:17:12.26" personId="{97714360-0F13-45B6-8A65-06DC7DBF86A1}" id="{44109DCB-0CCB-468B-82FE-956AE8F5C09F}" parentId="{18B680A7-1C19-430E-8722-1FC2841A7D1B}">
    <text>En una nueva validación acordamos que si suma al indicador aunque no tenga leads</text>
  </threadedComment>
  <threadedComment ref="D23" dT="2026-06-01T19:50:16.61" personId="{97714360-0F13-45B6-8A65-06DC7DBF86A1}" id="{02A3033F-677F-4750-BE41-C13C9B529AB0}">
    <text>Revisar la meta según los promotores</text>
  </threadedComment>
  <threadedComment ref="D24" dT="2026-06-01T19:51:43.81" personId="{97714360-0F13-45B6-8A65-06DC7DBF86A1}" id="{19E9C216-97D9-4591-AD19-798E0F441F7D}">
    <text>30 por promotor</text>
  </threadedComment>
  <threadedComment ref="H24" dT="2026-06-09T14:22:59.43" personId="{97714360-0F13-45B6-8A65-06DC7DBF86A1}" id="{48DF3080-049F-4302-A209-A38ABFD433FF}">
    <text>Le suman al indicador 30 hectáreas por promotor</text>
  </threadedComment>
  <threadedComment ref="D25" dT="2026-06-01T19:54:21.22" personId="{97714360-0F13-45B6-8A65-06DC7DBF86A1}" id="{D57E5246-3728-428E-939A-43FCA0AB79C5}">
    <text>Son 428 clientes y se divide entre 12 y cada mes se acumula el 8,33%</text>
  </threadedComment>
  <threadedComment ref="H25" dT="2026-06-09T14:21:05.99" personId="{97714360-0F13-45B6-8A65-06DC7DBF86A1}" id="{5C1717D7-A202-4BD1-B424-2E53CBFA1E09}">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6-06-05T15:13:15.52" personId="{97714360-0F13-45B6-8A65-06DC7DBF86A1}" id="{8906F621-EFC6-4381-809E-51FE3DAF3952}">
    <text>La cantidad total de clientes en el territorio para los comerciales, deben dar la vuelta a todos los clientes en el mes</text>
  </threadedComment>
  <threadedComment ref="I14"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F804AC1-75F1-4475-B29C-DABE3FA7E2B3}">
    <text>Los clientes que recuperen los comerciales es el resultado de la gestion</text>
  </threadedComment>
  <threadedComment ref="D15" dT="2026-06-01T20:00:34.89" personId="{97714360-0F13-45B6-8A65-06DC7DBF86A1}" id="{EBD86EB9-8939-41C6-8A32-1B8AD6BF3DAB}" parentId="{2F804AC1-75F1-4475-B29C-DABE3FA7E2B3}">
    <text>La meta esperada no es acumulable es dividido 3</text>
  </threadedComment>
  <threadedComment ref="H15" dT="2026-06-05T15:13:45.19" personId="{97714360-0F13-45B6-8A65-06DC7DBF86A1}" id="{007273DF-34F4-4C5D-ABDF-A3CA3FB7B9FE}">
    <text>La cobertura se esta dividiendo X 3</text>
  </threadedComment>
  <threadedComment ref="H16" dT="2026-06-05T15:14:42.69" personId="{97714360-0F13-45B6-8A65-06DC7DBF86A1}" id="{7554890C-090C-4C75-85B9-6613F411B0D3}">
    <text>Divide los clientes totales a recuperar por 12 meses</text>
  </threadedComment>
  <threadedComment ref="B18" dT="2026-06-01T20:11:35.98" personId="{97714360-0F13-45B6-8A65-06DC7DBF86A1}" id="{1AABDD65-6F9F-4D93-8375-D5ED74309AA9}">
    <text>Gestión de todo el equipo</text>
  </threadedComment>
  <threadedComment ref="H19" dT="2026-06-05T15:15:28.56" personId="{97714360-0F13-45B6-8A65-06DC7DBF86A1}" id="{902DBEA7-4564-41B1-9BD4-88A4CC56DC32}">
    <text>Recomendaciones, par amedir el indicador si dejamos todo el portafolio o ponemos una meta fija mientras suben los numeros</text>
  </threadedComment>
  <threadedComment ref="D20" dT="2026-06-01T19:46:31.77" personId="{97714360-0F13-45B6-8A65-06DC7DBF86A1}" id="{D99CFC61-CF0D-48CD-8E4B-F4E6A00EEA2B}">
    <text xml:space="preserve">Si no tiene leads, es 0, y la meta total del indicador es sobre 80
</text>
  </threadedComment>
  <threadedComment ref="D20"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1" dT="2026-06-01T19:46:43.55" personId="{97714360-0F13-45B6-8A65-06DC7DBF86A1}" id="{5534DAE0-B6A4-4FB5-9509-D659F3B51F00}">
    <text>No aplica si no tiene leads</text>
  </threadedComment>
  <threadedComment ref="D21" dT="2026-06-09T14:17:12.26" personId="{97714360-0F13-45B6-8A65-06DC7DBF86A1}" id="{9B250236-257D-4A16-964A-454C7A456EDB}" parentId="{5534DAE0-B6A4-4FB5-9509-D659F3B51F00}">
    <text>En una nueva validación acordamos que si suma al indicador aunque no tenga leads</text>
  </threadedComment>
  <threadedComment ref="D22" dT="2026-06-01T19:50:16.61" personId="{97714360-0F13-45B6-8A65-06DC7DBF86A1}" id="{C8AC47AA-D925-4620-86CA-9D14C5883D8F}">
    <text>Revisar la meta según los promotores</text>
  </threadedComment>
  <threadedComment ref="D23" dT="2026-06-01T19:51:43.81" personId="{97714360-0F13-45B6-8A65-06DC7DBF86A1}" id="{5DFD9778-0E85-4CEE-ADFB-033B0DEC9A1D}">
    <text>30 por promotor</text>
  </threadedComment>
  <threadedComment ref="H23" dT="2026-06-09T14:22:59.43" personId="{97714360-0F13-45B6-8A65-06DC7DBF86A1}" id="{91980F10-4314-4291-A0E2-0C7C3FF6514E}">
    <text>Le suman al indicador 30 hectáreas por promotor</text>
  </threadedComment>
  <threadedComment ref="D24" dT="2026-06-01T19:54:21.22" personId="{97714360-0F13-45B6-8A65-06DC7DBF86A1}" id="{D9FF764E-308B-4E04-A4FA-6642DF9A6753}">
    <text>Son 428 clientes y se divide entre 12 y cada mes se acumula el 8,33%</text>
  </threadedComment>
  <threadedComment ref="H24" dT="2026-06-09T14:21:05.99" personId="{97714360-0F13-45B6-8A65-06DC7DBF86A1}" id="{637C784D-C9F3-4B29-BAEB-C893497026B3}">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my360424.crm.ondemand.com/sap/ap/ui/clogin?saml2=disabled&amp;app.component=%2fSAP_UI_CT%2fMain%2froot.uiccwoc&amp;rootWindow=X&amp;redirectUrl=%2fsap%2fpublic%2fbyd%2fruntime&amp;sap-ui-language=es_e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my360424.crm.ondemand.com/sap/ap/ui/clogin?saml2=disabled&amp;app.component=%2fSAP_UI_CT%2fMain%2froot.uiccwoc&amp;rootWindow=X&amp;redirectUrl=%2fsap%2fpublic%2fbyd%2fruntime&amp;sap-ui-language=es_es"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Y98"/>
  <sheetViews>
    <sheetView tabSelected="1" topLeftCell="I1" zoomScale="85" zoomScaleNormal="85" workbookViewId="0">
      <pane ySplit="1" topLeftCell="A6" activePane="bottomLeft" state="frozen"/>
      <selection pane="bottomLeft" activeCell="Q18" sqref="Q18"/>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8" width="8.08984375" style="24" customWidth="1"/>
    <col min="9" max="9" width="8.08984375" customWidth="1"/>
    <col min="10" max="10" width="13.7265625" bestFit="1" customWidth="1"/>
    <col min="11" max="12" width="8.08984375" customWidth="1"/>
    <col min="13" max="14" width="12" customWidth="1"/>
    <col min="15" max="15" width="39.54296875" bestFit="1" customWidth="1"/>
    <col min="16" max="16" width="39.1796875" bestFit="1" customWidth="1"/>
    <col min="17" max="17" width="35.453125" bestFit="1" customWidth="1"/>
  </cols>
  <sheetData>
    <row r="1" spans="1:25" ht="72.5" x14ac:dyDescent="0.35">
      <c r="A1" s="5" t="s">
        <v>4</v>
      </c>
      <c r="B1" s="5" t="s">
        <v>26</v>
      </c>
      <c r="C1" s="5" t="s">
        <v>803</v>
      </c>
      <c r="D1" s="5" t="s">
        <v>28</v>
      </c>
      <c r="E1" s="5" t="s">
        <v>29</v>
      </c>
      <c r="F1" s="5" t="s">
        <v>804</v>
      </c>
      <c r="G1" s="5" t="s">
        <v>805</v>
      </c>
      <c r="H1" s="129" t="s">
        <v>806</v>
      </c>
      <c r="I1" s="5" t="s">
        <v>864</v>
      </c>
      <c r="J1" s="5" t="s">
        <v>841</v>
      </c>
      <c r="K1" s="5" t="s">
        <v>807</v>
      </c>
      <c r="L1" s="5" t="s">
        <v>244</v>
      </c>
      <c r="M1" s="5" t="s">
        <v>836</v>
      </c>
      <c r="N1" s="128"/>
      <c r="O1" s="9" t="s">
        <v>46</v>
      </c>
      <c r="P1" s="9" t="s">
        <v>4</v>
      </c>
      <c r="Q1" s="9" t="s">
        <v>47</v>
      </c>
      <c r="R1" s="9" t="s">
        <v>48</v>
      </c>
      <c r="S1" s="9" t="s">
        <v>366</v>
      </c>
      <c r="T1" s="9" t="s">
        <v>368</v>
      </c>
      <c r="U1" s="9" t="s">
        <v>378</v>
      </c>
      <c r="V1" s="9" t="s">
        <v>379</v>
      </c>
      <c r="W1" s="9" t="s">
        <v>380</v>
      </c>
    </row>
    <row r="2" spans="1:25" x14ac:dyDescent="0.35">
      <c r="A2" s="21" t="s">
        <v>376</v>
      </c>
      <c r="B2" s="15" t="s">
        <v>580</v>
      </c>
      <c r="C2" s="149">
        <v>199</v>
      </c>
      <c r="D2" s="136">
        <v>20</v>
      </c>
      <c r="E2" s="137">
        <v>3.6764705882352942E-2</v>
      </c>
      <c r="F2" s="138"/>
      <c r="G2" s="139">
        <v>39</v>
      </c>
      <c r="H2" s="140">
        <v>4.8611111111111112E-2</v>
      </c>
      <c r="I2" s="138">
        <v>120</v>
      </c>
      <c r="J2" s="139"/>
      <c r="K2" s="137"/>
      <c r="L2" s="141" t="s">
        <v>245</v>
      </c>
      <c r="M2" s="35">
        <v>60</v>
      </c>
      <c r="O2" s="143" t="s">
        <v>446</v>
      </c>
      <c r="P2" s="142" t="s">
        <v>794</v>
      </c>
      <c r="Q2" s="144" t="s">
        <v>818</v>
      </c>
      <c r="R2" s="145" t="s">
        <v>402</v>
      </c>
      <c r="S2" s="145">
        <f>SUM(S3:S18)</f>
        <v>11</v>
      </c>
      <c r="T2" s="145">
        <f>SUM(T3:T18)</f>
        <v>66</v>
      </c>
      <c r="U2" s="145">
        <f t="shared" ref="U2:U18" si="0">T2+S2</f>
        <v>77</v>
      </c>
      <c r="V2" s="145">
        <f>SUM(V3:V18)</f>
        <v>660</v>
      </c>
      <c r="W2" s="145">
        <f>SUM(W3:W18)</f>
        <v>66</v>
      </c>
      <c r="X2" s="7" t="s">
        <v>52</v>
      </c>
      <c r="Y2" s="7" t="s">
        <v>55</v>
      </c>
    </row>
    <row r="3" spans="1:25" x14ac:dyDescent="0.35">
      <c r="A3" s="21" t="s">
        <v>376</v>
      </c>
      <c r="B3" s="15" t="s">
        <v>612</v>
      </c>
      <c r="C3" s="150">
        <v>179</v>
      </c>
      <c r="D3" s="136">
        <v>16</v>
      </c>
      <c r="E3" s="137">
        <v>2.9411764705882353E-2</v>
      </c>
      <c r="F3" s="138"/>
      <c r="G3" s="139">
        <v>29</v>
      </c>
      <c r="H3" s="140">
        <v>3.4722222222222224E-2</v>
      </c>
      <c r="I3" s="138">
        <v>120</v>
      </c>
      <c r="J3" s="139"/>
      <c r="K3" s="137"/>
      <c r="L3" s="141" t="s">
        <v>245</v>
      </c>
      <c r="M3" s="35">
        <v>60</v>
      </c>
      <c r="O3" s="143" t="s">
        <v>446</v>
      </c>
      <c r="P3" s="143" t="s">
        <v>797</v>
      </c>
      <c r="Q3" s="144" t="s">
        <v>818</v>
      </c>
      <c r="R3" s="145" t="s">
        <v>402</v>
      </c>
      <c r="S3" s="145">
        <v>0.5</v>
      </c>
      <c r="T3" s="145">
        <v>3</v>
      </c>
      <c r="U3" s="145">
        <f t="shared" si="0"/>
        <v>3.5</v>
      </c>
      <c r="V3" s="145">
        <v>30</v>
      </c>
      <c r="W3" s="145">
        <v>3</v>
      </c>
      <c r="X3" s="7" t="s">
        <v>53</v>
      </c>
      <c r="Y3" s="7" t="s">
        <v>56</v>
      </c>
    </row>
    <row r="4" spans="1:25" x14ac:dyDescent="0.35">
      <c r="A4" s="21" t="s">
        <v>144</v>
      </c>
      <c r="B4" s="38" t="s">
        <v>808</v>
      </c>
      <c r="C4" s="136">
        <v>91</v>
      </c>
      <c r="D4" s="136"/>
      <c r="E4" s="137"/>
      <c r="F4" s="138"/>
      <c r="G4" s="139"/>
      <c r="H4" s="140"/>
      <c r="I4" s="138">
        <v>120</v>
      </c>
      <c r="J4" s="139"/>
      <c r="K4" s="137"/>
      <c r="L4" s="141" t="s">
        <v>245</v>
      </c>
      <c r="M4" s="35">
        <v>60</v>
      </c>
      <c r="O4" s="143" t="s">
        <v>446</v>
      </c>
      <c r="P4" s="142" t="s">
        <v>795</v>
      </c>
      <c r="Q4" s="144" t="s">
        <v>818</v>
      </c>
      <c r="R4" s="145" t="s">
        <v>402</v>
      </c>
      <c r="S4" s="145">
        <v>0.5</v>
      </c>
      <c r="T4" s="145">
        <v>3</v>
      </c>
      <c r="U4" s="145">
        <f t="shared" si="0"/>
        <v>3.5</v>
      </c>
      <c r="V4" s="145">
        <v>30</v>
      </c>
      <c r="W4" s="145">
        <v>3</v>
      </c>
      <c r="X4" s="7" t="s">
        <v>17</v>
      </c>
      <c r="Y4" s="7" t="s">
        <v>57</v>
      </c>
    </row>
    <row r="5" spans="1:25" x14ac:dyDescent="0.35">
      <c r="A5" s="21" t="s">
        <v>797</v>
      </c>
      <c r="B5" s="15" t="s">
        <v>809</v>
      </c>
      <c r="C5" s="136">
        <v>182</v>
      </c>
      <c r="D5" s="136">
        <v>34</v>
      </c>
      <c r="E5" s="137">
        <v>0.18681318681318682</v>
      </c>
      <c r="F5" s="138"/>
      <c r="G5" s="139">
        <v>69</v>
      </c>
      <c r="H5" s="140">
        <v>0.10138888888888889</v>
      </c>
      <c r="I5" s="138">
        <v>120</v>
      </c>
      <c r="J5" s="139"/>
      <c r="K5" s="137"/>
      <c r="L5" s="141" t="s">
        <v>245</v>
      </c>
      <c r="M5" s="35">
        <v>60</v>
      </c>
      <c r="O5" s="143" t="s">
        <v>446</v>
      </c>
      <c r="P5" s="142" t="s">
        <v>131</v>
      </c>
      <c r="Q5" s="144" t="s">
        <v>818</v>
      </c>
      <c r="R5" s="145" t="s">
        <v>402</v>
      </c>
      <c r="S5" s="145">
        <v>0.5</v>
      </c>
      <c r="T5" s="145">
        <v>3</v>
      </c>
      <c r="U5" s="145">
        <f t="shared" si="0"/>
        <v>3.5</v>
      </c>
      <c r="V5" s="145">
        <v>30</v>
      </c>
      <c r="W5" s="145">
        <v>3</v>
      </c>
      <c r="X5" s="7" t="s">
        <v>54</v>
      </c>
      <c r="Y5" s="7" t="s">
        <v>58</v>
      </c>
    </row>
    <row r="6" spans="1:25" x14ac:dyDescent="0.35">
      <c r="A6" s="21" t="s">
        <v>133</v>
      </c>
      <c r="B6" s="38" t="s">
        <v>810</v>
      </c>
      <c r="C6" s="136">
        <v>98</v>
      </c>
      <c r="D6" s="136"/>
      <c r="E6" s="137"/>
      <c r="F6" s="138"/>
      <c r="G6" s="139"/>
      <c r="H6" s="140"/>
      <c r="I6" s="138">
        <v>120</v>
      </c>
      <c r="J6" s="139"/>
      <c r="K6" s="137"/>
      <c r="L6" s="141" t="s">
        <v>245</v>
      </c>
      <c r="M6" s="35">
        <v>60</v>
      </c>
      <c r="O6" s="160" t="s">
        <v>446</v>
      </c>
      <c r="P6" s="160" t="s">
        <v>801</v>
      </c>
      <c r="Q6" s="144" t="s">
        <v>818</v>
      </c>
      <c r="R6" s="145" t="s">
        <v>402</v>
      </c>
      <c r="S6" s="145">
        <v>0.5</v>
      </c>
      <c r="T6" s="145">
        <v>3</v>
      </c>
      <c r="U6" s="145">
        <f t="shared" si="0"/>
        <v>3.5</v>
      </c>
      <c r="V6" s="145">
        <v>30</v>
      </c>
      <c r="W6" s="145">
        <v>3</v>
      </c>
    </row>
    <row r="7" spans="1:25" x14ac:dyDescent="0.35">
      <c r="A7" s="21" t="s">
        <v>133</v>
      </c>
      <c r="B7" s="15" t="s">
        <v>620</v>
      </c>
      <c r="C7" s="154">
        <v>24</v>
      </c>
      <c r="D7" s="136">
        <v>15</v>
      </c>
      <c r="E7" s="137">
        <v>0.15306122448979592</v>
      </c>
      <c r="F7" s="138"/>
      <c r="G7" s="139">
        <v>51</v>
      </c>
      <c r="H7" s="140">
        <v>6.6666666666666666E-2</v>
      </c>
      <c r="I7" s="138">
        <v>120</v>
      </c>
      <c r="J7" s="139"/>
      <c r="K7" s="137"/>
      <c r="L7" s="141" t="s">
        <v>245</v>
      </c>
      <c r="M7" s="35">
        <v>60</v>
      </c>
      <c r="O7" s="160" t="s">
        <v>446</v>
      </c>
      <c r="P7" s="160" t="s">
        <v>802</v>
      </c>
      <c r="Q7" s="144" t="s">
        <v>818</v>
      </c>
      <c r="R7" s="145" t="s">
        <v>402</v>
      </c>
      <c r="S7" s="145">
        <v>0.5</v>
      </c>
      <c r="T7" s="145">
        <v>3</v>
      </c>
      <c r="U7" s="145">
        <f t="shared" si="0"/>
        <v>3.5</v>
      </c>
      <c r="V7" s="145">
        <v>30</v>
      </c>
      <c r="W7" s="145">
        <v>3</v>
      </c>
    </row>
    <row r="8" spans="1:25" x14ac:dyDescent="0.35">
      <c r="A8" s="21" t="s">
        <v>133</v>
      </c>
      <c r="B8" s="15" t="s">
        <v>623</v>
      </c>
      <c r="C8" s="149">
        <v>43</v>
      </c>
      <c r="D8" s="136">
        <v>11</v>
      </c>
      <c r="E8" s="137">
        <v>0.11224489795918367</v>
      </c>
      <c r="F8" s="138"/>
      <c r="G8" s="139">
        <v>24</v>
      </c>
      <c r="H8" s="140">
        <v>3.3333333333333333E-2</v>
      </c>
      <c r="I8" s="138">
        <v>120</v>
      </c>
      <c r="J8" s="139"/>
      <c r="K8" s="137"/>
      <c r="L8" s="141" t="s">
        <v>245</v>
      </c>
      <c r="M8" s="35">
        <v>60</v>
      </c>
      <c r="O8" s="151" t="s">
        <v>580</v>
      </c>
      <c r="P8" s="152" t="s">
        <v>376</v>
      </c>
      <c r="Q8" s="145" t="s">
        <v>820</v>
      </c>
      <c r="R8" s="145" t="s">
        <v>402</v>
      </c>
      <c r="S8" s="146">
        <v>1</v>
      </c>
      <c r="T8" s="145">
        <v>6</v>
      </c>
      <c r="U8" s="145">
        <f t="shared" si="0"/>
        <v>7</v>
      </c>
      <c r="V8" s="145">
        <v>60</v>
      </c>
      <c r="W8" s="145">
        <v>6</v>
      </c>
    </row>
    <row r="9" spans="1:25" x14ac:dyDescent="0.35">
      <c r="A9" s="21" t="s">
        <v>194</v>
      </c>
      <c r="B9" s="38" t="s">
        <v>811</v>
      </c>
      <c r="C9" s="136">
        <v>257</v>
      </c>
      <c r="D9" s="136"/>
      <c r="E9" s="137"/>
      <c r="F9" s="138"/>
      <c r="G9" s="139"/>
      <c r="H9" s="140"/>
      <c r="I9" s="138">
        <v>120</v>
      </c>
      <c r="J9" s="139"/>
      <c r="K9" s="137"/>
      <c r="L9" s="141" t="s">
        <v>245</v>
      </c>
      <c r="M9" s="35">
        <v>60</v>
      </c>
      <c r="O9" s="151" t="s">
        <v>612</v>
      </c>
      <c r="P9" s="151" t="s">
        <v>376</v>
      </c>
      <c r="Q9" s="145" t="s">
        <v>821</v>
      </c>
      <c r="R9" s="145" t="s">
        <v>402</v>
      </c>
      <c r="S9" s="145">
        <v>1</v>
      </c>
      <c r="T9" s="145">
        <v>6</v>
      </c>
      <c r="U9" s="145">
        <f t="shared" si="0"/>
        <v>7</v>
      </c>
      <c r="V9" s="145">
        <v>60</v>
      </c>
      <c r="W9" s="145">
        <v>6</v>
      </c>
    </row>
    <row r="10" spans="1:25" x14ac:dyDescent="0.35">
      <c r="A10" s="21" t="s">
        <v>799</v>
      </c>
      <c r="B10" s="15" t="s">
        <v>812</v>
      </c>
      <c r="C10" s="150">
        <v>51</v>
      </c>
      <c r="D10" s="136">
        <v>9</v>
      </c>
      <c r="E10" s="137">
        <v>5.9602649006622516E-2</v>
      </c>
      <c r="F10" s="138"/>
      <c r="G10" s="139">
        <v>15</v>
      </c>
      <c r="H10" s="140">
        <v>1.6666666666666666E-2</v>
      </c>
      <c r="I10" s="138">
        <v>120</v>
      </c>
      <c r="J10" s="139"/>
      <c r="K10" s="137"/>
      <c r="L10" s="141" t="s">
        <v>245</v>
      </c>
      <c r="M10" s="35">
        <v>60</v>
      </c>
      <c r="O10" s="143" t="s">
        <v>810</v>
      </c>
      <c r="P10" s="143" t="s">
        <v>133</v>
      </c>
      <c r="Q10" s="144" t="s">
        <v>828</v>
      </c>
      <c r="R10" s="145" t="s">
        <v>402</v>
      </c>
      <c r="S10" s="145">
        <v>0.5</v>
      </c>
      <c r="T10" s="145">
        <v>3</v>
      </c>
      <c r="U10" s="145">
        <f t="shared" si="0"/>
        <v>3.5</v>
      </c>
      <c r="V10" s="145">
        <v>30</v>
      </c>
      <c r="W10" s="145">
        <v>3</v>
      </c>
    </row>
    <row r="11" spans="1:25" x14ac:dyDescent="0.35">
      <c r="A11" s="21" t="s">
        <v>799</v>
      </c>
      <c r="B11" s="15" t="s">
        <v>813</v>
      </c>
      <c r="C11" s="153">
        <v>52</v>
      </c>
      <c r="D11" s="136">
        <v>22</v>
      </c>
      <c r="E11" s="137">
        <v>0.14569536423841059</v>
      </c>
      <c r="F11" s="138"/>
      <c r="G11" s="139">
        <v>46</v>
      </c>
      <c r="H11" s="140">
        <v>6.3888888888888884E-2</v>
      </c>
      <c r="I11" s="138">
        <v>120</v>
      </c>
      <c r="J11" s="139"/>
      <c r="K11" s="137"/>
      <c r="L11" s="141" t="s">
        <v>245</v>
      </c>
      <c r="M11" s="35">
        <v>60</v>
      </c>
      <c r="O11" s="151" t="s">
        <v>808</v>
      </c>
      <c r="P11" s="151" t="s">
        <v>144</v>
      </c>
      <c r="Q11" s="144" t="s">
        <v>824</v>
      </c>
      <c r="R11" s="145" t="s">
        <v>402</v>
      </c>
      <c r="S11" s="145">
        <v>0.5</v>
      </c>
      <c r="T11" s="145">
        <v>3</v>
      </c>
      <c r="U11" s="145">
        <f t="shared" si="0"/>
        <v>3.5</v>
      </c>
      <c r="V11" s="145">
        <v>30</v>
      </c>
      <c r="W11" s="145">
        <v>3</v>
      </c>
    </row>
    <row r="12" spans="1:25" x14ac:dyDescent="0.35">
      <c r="A12" s="21" t="s">
        <v>814</v>
      </c>
      <c r="B12" s="15" t="s">
        <v>815</v>
      </c>
      <c r="C12" s="136">
        <v>152</v>
      </c>
      <c r="D12" s="136">
        <v>23</v>
      </c>
      <c r="E12" s="137">
        <v>0.15131578947368421</v>
      </c>
      <c r="F12" s="138"/>
      <c r="G12" s="139">
        <v>34</v>
      </c>
      <c r="H12" s="140">
        <v>4.7222222222222221E-2</v>
      </c>
      <c r="I12" s="138">
        <v>120</v>
      </c>
      <c r="J12" s="139"/>
      <c r="K12" s="137"/>
      <c r="L12" s="141" t="s">
        <v>245</v>
      </c>
      <c r="M12" s="35">
        <v>60</v>
      </c>
      <c r="O12" s="151" t="s">
        <v>811</v>
      </c>
      <c r="P12" s="151" t="s">
        <v>194</v>
      </c>
      <c r="Q12" s="145" t="s">
        <v>823</v>
      </c>
      <c r="R12" s="145" t="s">
        <v>402</v>
      </c>
      <c r="S12" s="145">
        <v>0.5</v>
      </c>
      <c r="T12" s="145">
        <v>3</v>
      </c>
      <c r="U12" s="145">
        <f t="shared" si="0"/>
        <v>3.5</v>
      </c>
      <c r="V12" s="145">
        <v>30</v>
      </c>
      <c r="W12" s="145">
        <v>3</v>
      </c>
    </row>
    <row r="13" spans="1:25" x14ac:dyDescent="0.35">
      <c r="A13" s="21" t="s">
        <v>131</v>
      </c>
      <c r="B13" s="15" t="s">
        <v>423</v>
      </c>
      <c r="C13" s="136">
        <v>194</v>
      </c>
      <c r="D13" s="136">
        <v>9</v>
      </c>
      <c r="E13" s="137">
        <v>4.6391752577319589E-2</v>
      </c>
      <c r="F13" s="138"/>
      <c r="G13" s="139">
        <v>26</v>
      </c>
      <c r="H13" s="140">
        <v>3.6111111111111108E-2</v>
      </c>
      <c r="I13" s="138">
        <v>120</v>
      </c>
      <c r="J13" s="139"/>
      <c r="K13" s="137"/>
      <c r="L13" s="141" t="s">
        <v>245</v>
      </c>
      <c r="M13" s="35">
        <v>60</v>
      </c>
      <c r="O13" s="152" t="s">
        <v>812</v>
      </c>
      <c r="P13" s="152" t="s">
        <v>799</v>
      </c>
      <c r="Q13" s="145" t="s">
        <v>832</v>
      </c>
      <c r="R13" s="145" t="s">
        <v>402</v>
      </c>
      <c r="S13" s="145">
        <v>1</v>
      </c>
      <c r="T13" s="145">
        <v>6</v>
      </c>
      <c r="U13" s="145">
        <f t="shared" si="0"/>
        <v>7</v>
      </c>
      <c r="V13" s="145">
        <v>60</v>
      </c>
      <c r="W13" s="145">
        <v>6</v>
      </c>
    </row>
    <row r="14" spans="1:25" x14ac:dyDescent="0.35">
      <c r="A14" s="21" t="s">
        <v>376</v>
      </c>
      <c r="B14" s="15" t="s">
        <v>580</v>
      </c>
      <c r="C14" s="149">
        <v>199</v>
      </c>
      <c r="D14" s="136">
        <v>53</v>
      </c>
      <c r="E14" s="137">
        <v>9.7426470588235295E-2</v>
      </c>
      <c r="F14" s="138"/>
      <c r="G14" s="139">
        <v>79</v>
      </c>
      <c r="H14" s="140">
        <v>0.10972222222222222</v>
      </c>
      <c r="I14" s="138">
        <v>120</v>
      </c>
      <c r="J14" s="139"/>
      <c r="K14" s="137"/>
      <c r="L14" s="141" t="s">
        <v>247</v>
      </c>
      <c r="M14" s="35">
        <v>60</v>
      </c>
      <c r="O14" s="152" t="s">
        <v>813</v>
      </c>
      <c r="P14" s="151" t="s">
        <v>799</v>
      </c>
      <c r="Q14" s="145" t="s">
        <v>833</v>
      </c>
      <c r="R14" s="145" t="s">
        <v>402</v>
      </c>
      <c r="S14" s="145">
        <v>1</v>
      </c>
      <c r="T14" s="145">
        <v>6</v>
      </c>
      <c r="U14" s="145">
        <f t="shared" si="0"/>
        <v>7</v>
      </c>
      <c r="V14" s="145">
        <v>60</v>
      </c>
      <c r="W14" s="145">
        <v>6</v>
      </c>
    </row>
    <row r="15" spans="1:25" x14ac:dyDescent="0.35">
      <c r="A15" s="21" t="s">
        <v>376</v>
      </c>
      <c r="B15" s="15" t="s">
        <v>612</v>
      </c>
      <c r="C15" s="150">
        <v>179</v>
      </c>
      <c r="D15" s="136">
        <v>33</v>
      </c>
      <c r="E15" s="137">
        <v>6.0661764705882353E-2</v>
      </c>
      <c r="F15" s="138"/>
      <c r="G15" s="139">
        <v>74</v>
      </c>
      <c r="H15" s="140">
        <v>8.7499999999999994E-2</v>
      </c>
      <c r="I15" s="138">
        <v>120</v>
      </c>
      <c r="J15" s="139"/>
      <c r="K15" s="137"/>
      <c r="L15" s="141" t="s">
        <v>247</v>
      </c>
      <c r="M15" s="35">
        <v>60</v>
      </c>
      <c r="O15" s="152" t="s">
        <v>815</v>
      </c>
      <c r="P15" s="151" t="s">
        <v>814</v>
      </c>
      <c r="Q15" s="145" t="s">
        <v>834</v>
      </c>
      <c r="R15" s="145" t="s">
        <v>402</v>
      </c>
      <c r="S15" s="145">
        <v>0.5</v>
      </c>
      <c r="T15" s="145">
        <v>3</v>
      </c>
      <c r="U15" s="145">
        <f t="shared" si="0"/>
        <v>3.5</v>
      </c>
      <c r="V15" s="145">
        <v>30</v>
      </c>
      <c r="W15" s="145">
        <v>3</v>
      </c>
    </row>
    <row r="16" spans="1:25" x14ac:dyDescent="0.35">
      <c r="A16" s="21" t="s">
        <v>144</v>
      </c>
      <c r="B16" s="38" t="s">
        <v>808</v>
      </c>
      <c r="C16" s="136">
        <v>91</v>
      </c>
      <c r="D16" s="136"/>
      <c r="E16" s="137"/>
      <c r="F16" s="138"/>
      <c r="G16" s="139"/>
      <c r="H16" s="140"/>
      <c r="I16" s="138">
        <v>120</v>
      </c>
      <c r="J16" s="139"/>
      <c r="K16" s="137"/>
      <c r="L16" s="141" t="s">
        <v>247</v>
      </c>
      <c r="M16" s="35">
        <v>60</v>
      </c>
      <c r="O16" s="152" t="s">
        <v>620</v>
      </c>
      <c r="P16" s="151" t="s">
        <v>133</v>
      </c>
      <c r="Q16" s="145" t="s">
        <v>829</v>
      </c>
      <c r="R16" s="145" t="s">
        <v>402</v>
      </c>
      <c r="S16" s="145">
        <v>1</v>
      </c>
      <c r="T16" s="145">
        <v>6</v>
      </c>
      <c r="U16" s="145">
        <f t="shared" si="0"/>
        <v>7</v>
      </c>
      <c r="V16" s="145">
        <v>60</v>
      </c>
      <c r="W16" s="145">
        <v>6</v>
      </c>
    </row>
    <row r="17" spans="1:23" x14ac:dyDescent="0.35">
      <c r="A17" s="21" t="s">
        <v>797</v>
      </c>
      <c r="B17" s="15" t="s">
        <v>809</v>
      </c>
      <c r="C17" s="136">
        <v>182</v>
      </c>
      <c r="D17" s="136">
        <v>32</v>
      </c>
      <c r="E17" s="137">
        <v>0.17582417582417584</v>
      </c>
      <c r="F17" s="138"/>
      <c r="G17" s="139">
        <v>68</v>
      </c>
      <c r="H17" s="140">
        <v>0.10416666666666667</v>
      </c>
      <c r="I17" s="138">
        <v>120</v>
      </c>
      <c r="J17" s="139"/>
      <c r="K17" s="137"/>
      <c r="L17" s="141" t="s">
        <v>247</v>
      </c>
      <c r="M17" s="35">
        <v>60</v>
      </c>
      <c r="O17" s="152" t="s">
        <v>623</v>
      </c>
      <c r="P17" s="151" t="s">
        <v>133</v>
      </c>
      <c r="Q17" s="144" t="s">
        <v>827</v>
      </c>
      <c r="R17" s="145" t="s">
        <v>402</v>
      </c>
      <c r="S17" s="145">
        <v>1</v>
      </c>
      <c r="T17" s="145">
        <v>6</v>
      </c>
      <c r="U17" s="145">
        <f t="shared" si="0"/>
        <v>7</v>
      </c>
      <c r="V17" s="145">
        <v>60</v>
      </c>
      <c r="W17" s="145">
        <v>6</v>
      </c>
    </row>
    <row r="18" spans="1:23" x14ac:dyDescent="0.35">
      <c r="A18" s="21" t="s">
        <v>133</v>
      </c>
      <c r="B18" s="38" t="s">
        <v>810</v>
      </c>
      <c r="C18" s="136">
        <v>98</v>
      </c>
      <c r="D18" s="136"/>
      <c r="E18" s="137"/>
      <c r="F18" s="138"/>
      <c r="G18" s="139"/>
      <c r="H18" s="140"/>
      <c r="I18" s="138">
        <v>120</v>
      </c>
      <c r="J18" s="139"/>
      <c r="K18" s="137"/>
      <c r="L18" s="141" t="s">
        <v>247</v>
      </c>
      <c r="M18" s="35">
        <v>60</v>
      </c>
      <c r="O18" s="152" t="s">
        <v>423</v>
      </c>
      <c r="P18" s="151" t="s">
        <v>131</v>
      </c>
      <c r="Q18" s="144" t="s">
        <v>835</v>
      </c>
      <c r="R18" s="145" t="s">
        <v>402</v>
      </c>
      <c r="S18" s="145">
        <v>0.5</v>
      </c>
      <c r="T18" s="145">
        <v>3</v>
      </c>
      <c r="U18" s="145">
        <f t="shared" si="0"/>
        <v>3.5</v>
      </c>
      <c r="V18" s="145">
        <v>30</v>
      </c>
      <c r="W18" s="145">
        <v>3</v>
      </c>
    </row>
    <row r="19" spans="1:23" ht="29" x14ac:dyDescent="0.35">
      <c r="A19" s="21" t="s">
        <v>133</v>
      </c>
      <c r="B19" s="15" t="s">
        <v>620</v>
      </c>
      <c r="C19" s="154">
        <v>24</v>
      </c>
      <c r="D19" s="136">
        <v>13</v>
      </c>
      <c r="E19" s="137">
        <v>0.1326530612244898</v>
      </c>
      <c r="F19" s="138"/>
      <c r="G19" s="139">
        <v>32</v>
      </c>
      <c r="H19" s="140">
        <v>3.888888888888889E-2</v>
      </c>
      <c r="I19" s="138">
        <v>120</v>
      </c>
      <c r="J19" s="139"/>
      <c r="K19" s="137"/>
      <c r="L19" s="141" t="s">
        <v>247</v>
      </c>
      <c r="M19" s="35">
        <v>60</v>
      </c>
      <c r="O19" s="143" t="s">
        <v>809</v>
      </c>
      <c r="P19" s="142" t="s">
        <v>797</v>
      </c>
      <c r="Q19" s="144" t="s">
        <v>1002</v>
      </c>
      <c r="R19" s="145" t="s">
        <v>402</v>
      </c>
      <c r="S19" s="145">
        <v>0.5</v>
      </c>
      <c r="T19" s="145">
        <v>3</v>
      </c>
      <c r="U19" s="145">
        <f t="shared" ref="U19" si="1">T19+S19</f>
        <v>3.5</v>
      </c>
      <c r="V19" s="145">
        <v>30</v>
      </c>
      <c r="W19" s="145">
        <v>3</v>
      </c>
    </row>
    <row r="20" spans="1:23" x14ac:dyDescent="0.35">
      <c r="A20" s="21" t="s">
        <v>133</v>
      </c>
      <c r="B20" s="15" t="s">
        <v>623</v>
      </c>
      <c r="C20" s="149">
        <v>43</v>
      </c>
      <c r="D20" s="136">
        <v>13</v>
      </c>
      <c r="E20" s="137">
        <v>0.1326530612244898</v>
      </c>
      <c r="F20" s="138"/>
      <c r="G20" s="139">
        <v>32</v>
      </c>
      <c r="H20" s="140">
        <v>4.4444444444444446E-2</v>
      </c>
      <c r="I20" s="138">
        <v>120</v>
      </c>
      <c r="J20" s="139"/>
      <c r="K20" s="137"/>
      <c r="L20" s="141" t="s">
        <v>247</v>
      </c>
      <c r="M20" s="35">
        <v>60</v>
      </c>
      <c r="O20" s="143"/>
      <c r="P20" s="142"/>
      <c r="Q20" s="144"/>
      <c r="R20" s="145"/>
      <c r="S20" s="145"/>
      <c r="T20" s="145"/>
      <c r="U20" s="145"/>
      <c r="V20" s="145"/>
      <c r="W20" s="145"/>
    </row>
    <row r="21" spans="1:23" x14ac:dyDescent="0.35">
      <c r="A21" s="21" t="s">
        <v>194</v>
      </c>
      <c r="B21" s="38" t="s">
        <v>811</v>
      </c>
      <c r="C21" s="136">
        <v>257</v>
      </c>
      <c r="D21" s="136"/>
      <c r="E21" s="137"/>
      <c r="F21" s="138"/>
      <c r="G21" s="139"/>
      <c r="H21" s="140"/>
      <c r="I21" s="138">
        <v>120</v>
      </c>
      <c r="J21" s="139"/>
      <c r="K21" s="137"/>
      <c r="L21" s="141" t="s">
        <v>247</v>
      </c>
      <c r="M21" s="35">
        <v>60</v>
      </c>
      <c r="O21" s="143"/>
      <c r="P21" s="143"/>
      <c r="Q21" s="144"/>
      <c r="R21" s="145"/>
      <c r="S21" s="145"/>
      <c r="T21" s="145"/>
      <c r="U21" s="145"/>
      <c r="V21" s="145"/>
      <c r="W21" s="145"/>
    </row>
    <row r="22" spans="1:23" x14ac:dyDescent="0.35">
      <c r="A22" s="21" t="s">
        <v>799</v>
      </c>
      <c r="B22" s="15" t="s">
        <v>812</v>
      </c>
      <c r="C22" s="150">
        <v>51</v>
      </c>
      <c r="D22" s="136">
        <v>11</v>
      </c>
      <c r="E22" s="137">
        <v>7.2847682119205295E-2</v>
      </c>
      <c r="F22" s="138"/>
      <c r="G22" s="139">
        <v>28</v>
      </c>
      <c r="H22" s="140">
        <v>3.1944444444444442E-2</v>
      </c>
      <c r="I22" s="138">
        <v>120</v>
      </c>
      <c r="J22" s="139"/>
      <c r="K22" s="137"/>
      <c r="L22" s="141" t="s">
        <v>247</v>
      </c>
      <c r="M22" s="35">
        <v>60</v>
      </c>
      <c r="O22" s="143"/>
      <c r="P22" s="143"/>
      <c r="Q22" s="145"/>
      <c r="R22" s="145"/>
      <c r="S22" s="145"/>
      <c r="T22" s="145"/>
      <c r="U22" s="145"/>
      <c r="V22" s="145"/>
      <c r="W22" s="145"/>
    </row>
    <row r="23" spans="1:23" x14ac:dyDescent="0.35">
      <c r="A23" s="21" t="s">
        <v>799</v>
      </c>
      <c r="B23" s="15" t="s">
        <v>813</v>
      </c>
      <c r="C23" s="153">
        <v>52</v>
      </c>
      <c r="D23" s="136">
        <v>19</v>
      </c>
      <c r="E23" s="137">
        <v>0.12582781456953643</v>
      </c>
      <c r="F23" s="138"/>
      <c r="G23" s="139">
        <v>61</v>
      </c>
      <c r="H23" s="140">
        <v>8.4722222222222227E-2</v>
      </c>
      <c r="I23" s="138">
        <v>120</v>
      </c>
      <c r="J23" s="139"/>
      <c r="K23" s="137"/>
      <c r="L23" s="141" t="s">
        <v>247</v>
      </c>
      <c r="M23" s="35">
        <v>60</v>
      </c>
      <c r="O23" s="143"/>
      <c r="P23" s="142"/>
      <c r="Q23" s="144"/>
      <c r="R23" s="145"/>
      <c r="S23" s="145"/>
      <c r="T23" s="145"/>
      <c r="U23" s="145"/>
      <c r="V23" s="145"/>
      <c r="W23" s="145"/>
    </row>
    <row r="24" spans="1:23" x14ac:dyDescent="0.35">
      <c r="A24" s="21" t="s">
        <v>814</v>
      </c>
      <c r="B24" s="15" t="s">
        <v>815</v>
      </c>
      <c r="C24" s="136">
        <v>152</v>
      </c>
      <c r="D24" s="136">
        <v>22</v>
      </c>
      <c r="E24" s="137">
        <v>0.14473684210526316</v>
      </c>
      <c r="F24" s="138"/>
      <c r="G24" s="139">
        <v>50</v>
      </c>
      <c r="H24" s="140">
        <v>6.9444444444444448E-2</v>
      </c>
      <c r="I24" s="138">
        <v>120</v>
      </c>
      <c r="J24" s="139"/>
      <c r="K24" s="137"/>
      <c r="L24" s="141" t="s">
        <v>247</v>
      </c>
      <c r="M24" s="35">
        <v>60</v>
      </c>
      <c r="O24" s="143"/>
      <c r="P24" s="143"/>
      <c r="Q24" s="144"/>
      <c r="R24" s="145"/>
      <c r="S24" s="145"/>
      <c r="T24" s="145"/>
      <c r="U24" s="145"/>
      <c r="V24" s="145"/>
      <c r="W24" s="145"/>
    </row>
    <row r="25" spans="1:23" x14ac:dyDescent="0.35">
      <c r="A25" s="21" t="s">
        <v>131</v>
      </c>
      <c r="B25" s="15" t="s">
        <v>423</v>
      </c>
      <c r="C25" s="136">
        <v>194</v>
      </c>
      <c r="D25" s="136">
        <v>13</v>
      </c>
      <c r="E25" s="137">
        <v>6.7010309278350513E-2</v>
      </c>
      <c r="F25" s="138"/>
      <c r="G25" s="139">
        <v>35</v>
      </c>
      <c r="H25" s="140">
        <v>4.8611111111111112E-2</v>
      </c>
      <c r="I25" s="138">
        <v>120</v>
      </c>
      <c r="J25" s="139"/>
      <c r="K25" s="137"/>
      <c r="L25" s="141" t="s">
        <v>247</v>
      </c>
      <c r="M25" s="35">
        <v>60</v>
      </c>
      <c r="O25" s="143"/>
      <c r="P25" s="143"/>
      <c r="Q25" s="145"/>
      <c r="R25" s="145"/>
      <c r="S25" s="145"/>
      <c r="T25" s="145"/>
      <c r="U25" s="145"/>
      <c r="V25" s="145"/>
      <c r="W25" s="145"/>
    </row>
    <row r="26" spans="1:23" x14ac:dyDescent="0.35">
      <c r="A26" s="21" t="s">
        <v>376</v>
      </c>
      <c r="B26" s="15" t="s">
        <v>580</v>
      </c>
      <c r="C26" s="149">
        <v>199</v>
      </c>
      <c r="D26" s="136">
        <v>46</v>
      </c>
      <c r="E26" s="137">
        <v>8.455882352941177E-2</v>
      </c>
      <c r="F26" s="138"/>
      <c r="G26" s="139">
        <v>70</v>
      </c>
      <c r="H26" s="140">
        <v>0.1</v>
      </c>
      <c r="I26" s="138">
        <v>120</v>
      </c>
      <c r="J26" s="139"/>
      <c r="K26" s="137"/>
      <c r="L26" s="141" t="s">
        <v>248</v>
      </c>
      <c r="M26" s="35">
        <v>60</v>
      </c>
      <c r="N26" s="35"/>
    </row>
    <row r="27" spans="1:23" x14ac:dyDescent="0.35">
      <c r="A27" s="21" t="s">
        <v>376</v>
      </c>
      <c r="B27" s="15" t="s">
        <v>612</v>
      </c>
      <c r="C27" s="150">
        <v>179</v>
      </c>
      <c r="D27" s="136">
        <v>32</v>
      </c>
      <c r="E27" s="137">
        <v>5.8823529411764705E-2</v>
      </c>
      <c r="F27" s="138"/>
      <c r="G27" s="139">
        <v>73</v>
      </c>
      <c r="H27" s="140">
        <v>7.9166666666666663E-2</v>
      </c>
      <c r="I27" s="138">
        <v>120</v>
      </c>
      <c r="J27" s="139"/>
      <c r="K27" s="137"/>
      <c r="L27" s="141" t="s">
        <v>248</v>
      </c>
      <c r="M27" s="35">
        <v>60</v>
      </c>
      <c r="N27" s="35"/>
    </row>
    <row r="28" spans="1:23" x14ac:dyDescent="0.35">
      <c r="A28" s="21" t="s">
        <v>144</v>
      </c>
      <c r="B28" s="38" t="s">
        <v>808</v>
      </c>
      <c r="C28" s="136">
        <v>91</v>
      </c>
      <c r="D28" s="136"/>
      <c r="E28" s="137"/>
      <c r="F28" s="138"/>
      <c r="G28" s="139"/>
      <c r="H28" s="140"/>
      <c r="I28" s="138">
        <v>120</v>
      </c>
      <c r="J28" s="139"/>
      <c r="K28" s="137"/>
      <c r="L28" s="141" t="s">
        <v>248</v>
      </c>
      <c r="M28" s="35">
        <v>60</v>
      </c>
      <c r="N28" s="35"/>
    </row>
    <row r="29" spans="1:23" x14ac:dyDescent="0.35">
      <c r="A29" s="21" t="s">
        <v>797</v>
      </c>
      <c r="B29" s="15" t="s">
        <v>809</v>
      </c>
      <c r="C29" s="136">
        <v>182</v>
      </c>
      <c r="D29" s="136">
        <v>27</v>
      </c>
      <c r="E29" s="137">
        <v>0.14835164835164835</v>
      </c>
      <c r="F29" s="138"/>
      <c r="G29" s="139">
        <v>57</v>
      </c>
      <c r="H29" s="140">
        <v>8.611111111111111E-2</v>
      </c>
      <c r="I29" s="138">
        <v>120</v>
      </c>
      <c r="J29" s="139"/>
      <c r="K29" s="137"/>
      <c r="L29" s="141" t="s">
        <v>248</v>
      </c>
      <c r="M29" s="35">
        <v>60</v>
      </c>
      <c r="N29" s="35"/>
    </row>
    <row r="30" spans="1:23" x14ac:dyDescent="0.35">
      <c r="A30" s="21" t="s">
        <v>133</v>
      </c>
      <c r="B30" s="38" t="s">
        <v>810</v>
      </c>
      <c r="C30" s="136">
        <v>98</v>
      </c>
      <c r="D30" s="136"/>
      <c r="E30" s="137"/>
      <c r="F30" s="138"/>
      <c r="G30" s="139"/>
      <c r="H30" s="140"/>
      <c r="I30" s="138">
        <v>120</v>
      </c>
      <c r="J30" s="139"/>
      <c r="K30" s="137"/>
      <c r="L30" s="141" t="s">
        <v>248</v>
      </c>
      <c r="M30" s="35">
        <v>60</v>
      </c>
      <c r="N30" s="35"/>
    </row>
    <row r="31" spans="1:23" x14ac:dyDescent="0.35">
      <c r="A31" s="21" t="s">
        <v>133</v>
      </c>
      <c r="B31" s="15" t="s">
        <v>620</v>
      </c>
      <c r="C31" s="154">
        <v>24</v>
      </c>
      <c r="D31" s="136">
        <v>15</v>
      </c>
      <c r="E31" s="137">
        <v>0.15306122448979592</v>
      </c>
      <c r="F31" s="138"/>
      <c r="G31" s="139">
        <v>48</v>
      </c>
      <c r="H31" s="140">
        <v>6.1111111111111109E-2</v>
      </c>
      <c r="I31" s="138">
        <v>120</v>
      </c>
      <c r="J31" s="139"/>
      <c r="K31" s="137"/>
      <c r="L31" s="141" t="s">
        <v>248</v>
      </c>
      <c r="M31" s="35">
        <v>60</v>
      </c>
      <c r="N31" s="35"/>
    </row>
    <row r="32" spans="1:23" x14ac:dyDescent="0.35">
      <c r="A32" s="21" t="s">
        <v>133</v>
      </c>
      <c r="B32" s="15" t="s">
        <v>623</v>
      </c>
      <c r="C32" s="149">
        <v>43</v>
      </c>
      <c r="D32" s="136">
        <v>7</v>
      </c>
      <c r="E32" s="137">
        <v>7.1428571428571425E-2</v>
      </c>
      <c r="F32" s="138"/>
      <c r="G32" s="139">
        <v>7</v>
      </c>
      <c r="H32" s="140">
        <v>9.7222222222222224E-3</v>
      </c>
      <c r="I32" s="138">
        <v>120</v>
      </c>
      <c r="J32" s="139"/>
      <c r="K32" s="137"/>
      <c r="L32" s="141" t="s">
        <v>248</v>
      </c>
      <c r="M32" s="35">
        <v>60</v>
      </c>
      <c r="N32" s="35"/>
    </row>
    <row r="33" spans="1:14" x14ac:dyDescent="0.35">
      <c r="A33" s="21" t="s">
        <v>194</v>
      </c>
      <c r="B33" s="38" t="s">
        <v>811</v>
      </c>
      <c r="C33" s="136">
        <v>257</v>
      </c>
      <c r="D33" s="136"/>
      <c r="E33" s="137"/>
      <c r="F33" s="138"/>
      <c r="G33" s="139"/>
      <c r="H33" s="140"/>
      <c r="I33" s="138">
        <v>120</v>
      </c>
      <c r="J33" s="139"/>
      <c r="K33" s="137"/>
      <c r="L33" s="141" t="s">
        <v>248</v>
      </c>
      <c r="M33" s="35">
        <v>60</v>
      </c>
      <c r="N33" s="35"/>
    </row>
    <row r="34" spans="1:14" x14ac:dyDescent="0.35">
      <c r="A34" s="21" t="s">
        <v>799</v>
      </c>
      <c r="B34" s="15" t="s">
        <v>812</v>
      </c>
      <c r="C34" s="150">
        <v>51</v>
      </c>
      <c r="D34" s="136">
        <v>11</v>
      </c>
      <c r="E34" s="137">
        <v>7.2847682119205295E-2</v>
      </c>
      <c r="F34" s="138"/>
      <c r="G34" s="139">
        <v>27</v>
      </c>
      <c r="H34" s="140">
        <v>2.9166666666666667E-2</v>
      </c>
      <c r="I34" s="138">
        <v>120</v>
      </c>
      <c r="J34" s="139"/>
      <c r="K34" s="137"/>
      <c r="L34" s="141" t="s">
        <v>248</v>
      </c>
      <c r="M34" s="35">
        <v>60</v>
      </c>
      <c r="N34" s="35"/>
    </row>
    <row r="35" spans="1:14" x14ac:dyDescent="0.35">
      <c r="A35" s="21" t="s">
        <v>799</v>
      </c>
      <c r="B35" s="15" t="s">
        <v>813</v>
      </c>
      <c r="C35" s="153">
        <v>52</v>
      </c>
      <c r="D35" s="136">
        <v>22</v>
      </c>
      <c r="E35" s="137">
        <v>0.14569536423841059</v>
      </c>
      <c r="F35" s="138"/>
      <c r="G35" s="139">
        <v>51</v>
      </c>
      <c r="H35" s="140">
        <v>7.0833333333333331E-2</v>
      </c>
      <c r="I35" s="138">
        <v>120</v>
      </c>
      <c r="J35" s="139"/>
      <c r="K35" s="137"/>
      <c r="L35" s="141" t="s">
        <v>248</v>
      </c>
      <c r="M35" s="35">
        <v>60</v>
      </c>
      <c r="N35" s="35"/>
    </row>
    <row r="36" spans="1:14" x14ac:dyDescent="0.35">
      <c r="A36" s="21" t="s">
        <v>814</v>
      </c>
      <c r="B36" s="15" t="s">
        <v>815</v>
      </c>
      <c r="C36" s="136">
        <v>152</v>
      </c>
      <c r="D36" s="136">
        <v>20</v>
      </c>
      <c r="E36" s="137">
        <v>0.13157894736842105</v>
      </c>
      <c r="F36" s="138"/>
      <c r="G36" s="139">
        <v>42</v>
      </c>
      <c r="H36" s="140">
        <v>5.8333333333333334E-2</v>
      </c>
      <c r="I36" s="138">
        <v>120</v>
      </c>
      <c r="J36" s="139"/>
      <c r="K36" s="137"/>
      <c r="L36" s="141" t="s">
        <v>248</v>
      </c>
      <c r="M36" s="35">
        <v>60</v>
      </c>
      <c r="N36" s="35"/>
    </row>
    <row r="37" spans="1:14" x14ac:dyDescent="0.35">
      <c r="A37" s="21" t="s">
        <v>131</v>
      </c>
      <c r="B37" s="15" t="s">
        <v>423</v>
      </c>
      <c r="C37" s="136">
        <v>194</v>
      </c>
      <c r="D37" s="136">
        <v>18</v>
      </c>
      <c r="E37" s="137">
        <v>9.2783505154639179E-2</v>
      </c>
      <c r="F37" s="138"/>
      <c r="G37" s="139">
        <v>55</v>
      </c>
      <c r="H37" s="140">
        <v>7.6388888888888895E-2</v>
      </c>
      <c r="I37" s="138">
        <v>120</v>
      </c>
      <c r="J37" s="139"/>
      <c r="K37" s="137"/>
      <c r="L37" s="141" t="s">
        <v>248</v>
      </c>
      <c r="M37" s="35">
        <v>60</v>
      </c>
      <c r="N37" s="35"/>
    </row>
    <row r="38" spans="1:14" x14ac:dyDescent="0.35">
      <c r="A38" s="21"/>
      <c r="B38" s="15"/>
      <c r="C38" s="136"/>
      <c r="D38" s="136"/>
      <c r="E38" s="137"/>
      <c r="F38" s="138"/>
      <c r="G38" s="139"/>
      <c r="H38" s="140"/>
      <c r="I38" s="138"/>
      <c r="J38" s="139"/>
      <c r="K38" s="137"/>
      <c r="L38" s="141"/>
      <c r="M38" s="35"/>
      <c r="N38" s="35"/>
    </row>
    <row r="39" spans="1:14" x14ac:dyDescent="0.35">
      <c r="A39" s="21"/>
      <c r="B39" s="15"/>
      <c r="C39" s="136"/>
      <c r="D39" s="136"/>
      <c r="E39" s="137"/>
      <c r="F39" s="138"/>
      <c r="G39" s="139"/>
      <c r="H39" s="140"/>
      <c r="I39" s="138"/>
      <c r="J39" s="139"/>
      <c r="K39" s="137"/>
      <c r="L39" s="141"/>
      <c r="M39" s="35"/>
      <c r="N39" s="35"/>
    </row>
    <row r="40" spans="1:14" x14ac:dyDescent="0.35">
      <c r="A40" s="21"/>
      <c r="B40" s="15"/>
      <c r="C40" s="136"/>
      <c r="D40" s="136"/>
      <c r="E40" s="137"/>
      <c r="F40" s="138"/>
      <c r="G40" s="139"/>
      <c r="H40" s="140"/>
      <c r="I40" s="138"/>
      <c r="J40" s="139"/>
      <c r="K40" s="137"/>
      <c r="L40" s="141"/>
      <c r="M40" s="35"/>
      <c r="N40" s="35"/>
    </row>
    <row r="41" spans="1:14" x14ac:dyDescent="0.35">
      <c r="A41" s="21"/>
      <c r="B41" s="15"/>
      <c r="C41" s="136"/>
      <c r="D41" s="136"/>
      <c r="E41" s="137"/>
      <c r="F41" s="138"/>
      <c r="G41" s="139"/>
      <c r="H41" s="140"/>
      <c r="I41" s="138"/>
      <c r="J41" s="139"/>
      <c r="K41" s="137"/>
      <c r="L41" s="141"/>
      <c r="M41" s="35"/>
      <c r="N41" s="35"/>
    </row>
    <row r="42" spans="1:14" x14ac:dyDescent="0.35">
      <c r="A42" s="21"/>
      <c r="B42" s="15"/>
      <c r="C42" s="136"/>
      <c r="D42" s="136"/>
      <c r="E42" s="137"/>
      <c r="F42" s="138"/>
      <c r="G42" s="139"/>
      <c r="H42" s="140"/>
      <c r="I42" s="138"/>
      <c r="J42" s="139"/>
      <c r="K42" s="137"/>
      <c r="L42" s="141"/>
      <c r="M42" s="35"/>
      <c r="N42" s="35"/>
    </row>
    <row r="43" spans="1:14" x14ac:dyDescent="0.35">
      <c r="A43" s="21"/>
      <c r="B43" s="15"/>
      <c r="C43" s="136"/>
      <c r="D43" s="136"/>
      <c r="E43" s="137"/>
      <c r="F43" s="138"/>
      <c r="G43" s="139"/>
      <c r="H43" s="140"/>
      <c r="I43" s="138"/>
      <c r="J43" s="139"/>
      <c r="K43" s="137"/>
      <c r="L43" s="141"/>
      <c r="M43" s="35"/>
      <c r="N43" s="35"/>
    </row>
    <row r="44" spans="1:14" x14ac:dyDescent="0.35">
      <c r="A44" s="21"/>
      <c r="B44" s="15"/>
      <c r="C44" s="136"/>
      <c r="D44" s="136"/>
      <c r="E44" s="137"/>
      <c r="F44" s="138"/>
      <c r="G44" s="139"/>
      <c r="H44" s="140"/>
      <c r="I44" s="138"/>
      <c r="J44" s="139"/>
      <c r="K44" s="137"/>
      <c r="L44" s="141"/>
      <c r="M44" s="35"/>
      <c r="N44" s="35"/>
    </row>
    <row r="45" spans="1:14" x14ac:dyDescent="0.35">
      <c r="A45" s="21"/>
      <c r="B45" s="15"/>
      <c r="C45" s="136"/>
      <c r="D45" s="136"/>
      <c r="E45" s="137"/>
      <c r="F45" s="138"/>
      <c r="G45" s="139"/>
      <c r="H45" s="140"/>
      <c r="I45" s="138"/>
      <c r="J45" s="139"/>
      <c r="K45" s="137"/>
      <c r="L45" s="141"/>
      <c r="M45" s="35"/>
      <c r="N45" s="35"/>
    </row>
    <row r="46" spans="1:14" x14ac:dyDescent="0.35">
      <c r="A46" s="21"/>
      <c r="B46" s="15"/>
      <c r="C46" s="136"/>
      <c r="D46" s="136"/>
      <c r="E46" s="137"/>
      <c r="F46" s="138"/>
      <c r="G46" s="139"/>
      <c r="H46" s="140"/>
      <c r="I46" s="138"/>
      <c r="J46" s="139"/>
      <c r="K46" s="137"/>
      <c r="L46" s="141"/>
      <c r="M46" s="35"/>
      <c r="N46" s="35"/>
    </row>
    <row r="47" spans="1:14" x14ac:dyDescent="0.35">
      <c r="A47" s="21"/>
      <c r="B47" s="15"/>
      <c r="C47" s="136"/>
      <c r="D47" s="136"/>
      <c r="E47" s="137"/>
      <c r="F47" s="138"/>
      <c r="G47" s="139"/>
      <c r="H47" s="140"/>
      <c r="I47" s="138"/>
      <c r="J47" s="139"/>
      <c r="K47" s="137"/>
      <c r="L47" s="141"/>
      <c r="M47" s="35"/>
      <c r="N47" s="35"/>
    </row>
    <row r="48" spans="1:14" x14ac:dyDescent="0.35">
      <c r="A48" s="21"/>
      <c r="B48" s="15"/>
      <c r="C48" s="136"/>
      <c r="D48" s="136"/>
      <c r="E48" s="137"/>
      <c r="F48" s="138"/>
      <c r="G48" s="139"/>
      <c r="H48" s="140"/>
      <c r="I48" s="138"/>
      <c r="J48" s="139"/>
      <c r="K48" s="137"/>
      <c r="L48" s="141"/>
      <c r="M48" s="35"/>
      <c r="N48" s="35"/>
    </row>
    <row r="49" spans="1:16" x14ac:dyDescent="0.35">
      <c r="A49" s="21"/>
      <c r="B49" s="15"/>
      <c r="C49" s="136"/>
      <c r="D49" s="136"/>
      <c r="E49" s="137"/>
      <c r="F49" s="138"/>
      <c r="G49" s="139"/>
      <c r="H49" s="140"/>
      <c r="I49" s="138"/>
      <c r="J49" s="139"/>
      <c r="K49" s="137"/>
      <c r="L49" s="141"/>
      <c r="M49" s="35"/>
      <c r="N49" s="35"/>
    </row>
    <row r="50" spans="1:16" x14ac:dyDescent="0.35">
      <c r="A50" s="21"/>
      <c r="B50" s="15"/>
      <c r="C50" s="136"/>
      <c r="D50" s="136"/>
      <c r="E50" s="137"/>
      <c r="F50" s="138"/>
      <c r="G50" s="139"/>
      <c r="H50" s="140"/>
      <c r="I50" s="138"/>
      <c r="J50" s="139"/>
      <c r="K50" s="137"/>
      <c r="L50" s="141"/>
      <c r="M50" s="35"/>
      <c r="N50" s="35"/>
    </row>
    <row r="51" spans="1:16" x14ac:dyDescent="0.35">
      <c r="A51" s="21"/>
      <c r="B51" s="15"/>
      <c r="C51" s="136"/>
      <c r="D51" s="136"/>
      <c r="E51" s="137"/>
      <c r="F51" s="138"/>
      <c r="G51" s="139"/>
      <c r="H51" s="140"/>
      <c r="I51" s="138"/>
      <c r="J51" s="139"/>
      <c r="K51" s="137"/>
      <c r="L51" s="141"/>
      <c r="M51" s="35"/>
      <c r="N51" s="35"/>
    </row>
    <row r="52" spans="1:16" x14ac:dyDescent="0.35">
      <c r="A52" s="21"/>
      <c r="B52" s="15"/>
      <c r="C52" s="136"/>
      <c r="D52" s="136"/>
      <c r="E52" s="137"/>
      <c r="F52" s="138"/>
      <c r="G52" s="139"/>
      <c r="H52" s="140"/>
      <c r="I52" s="138"/>
      <c r="J52" s="139"/>
      <c r="K52" s="137"/>
      <c r="L52" s="141"/>
      <c r="M52" s="35"/>
      <c r="N52" s="35"/>
    </row>
    <row r="53" spans="1:16" x14ac:dyDescent="0.35">
      <c r="A53" s="21"/>
      <c r="B53" s="15"/>
      <c r="C53" s="136"/>
      <c r="D53" s="136"/>
      <c r="E53" s="137"/>
      <c r="F53" s="138"/>
      <c r="G53" s="139"/>
      <c r="H53" s="140"/>
      <c r="I53" s="138"/>
      <c r="J53" s="139"/>
      <c r="K53" s="137"/>
      <c r="L53" s="141"/>
      <c r="M53" s="35"/>
      <c r="N53" s="35"/>
    </row>
    <row r="54" spans="1:16" x14ac:dyDescent="0.35">
      <c r="A54" s="21"/>
      <c r="B54" s="15"/>
      <c r="C54" s="136"/>
      <c r="D54" s="136"/>
      <c r="E54" s="137"/>
      <c r="F54" s="138"/>
      <c r="G54" s="139"/>
      <c r="H54" s="140"/>
      <c r="I54" s="138"/>
      <c r="J54" s="139"/>
      <c r="K54" s="137"/>
      <c r="L54" s="141"/>
      <c r="M54" s="35"/>
      <c r="N54" s="35"/>
    </row>
    <row r="55" spans="1:16" x14ac:dyDescent="0.35">
      <c r="A55" s="21"/>
      <c r="B55" s="15"/>
      <c r="C55" s="136"/>
      <c r="D55" s="136"/>
      <c r="E55" s="137"/>
      <c r="F55" s="138"/>
      <c r="G55" s="139"/>
      <c r="H55" s="140"/>
      <c r="I55" s="138"/>
      <c r="J55" s="139"/>
      <c r="K55" s="137"/>
      <c r="L55" s="141"/>
      <c r="M55" s="35"/>
      <c r="N55" s="35"/>
    </row>
    <row r="56" spans="1:16" x14ac:dyDescent="0.35">
      <c r="A56" s="21"/>
      <c r="B56" s="15"/>
      <c r="C56" s="136"/>
      <c r="D56" s="136"/>
      <c r="E56" s="137"/>
      <c r="F56" s="138"/>
      <c r="G56" s="139"/>
      <c r="H56" s="140"/>
      <c r="I56" s="138"/>
      <c r="J56" s="139"/>
      <c r="K56" s="137"/>
      <c r="L56" s="141"/>
      <c r="M56" s="35"/>
      <c r="N56" s="35"/>
    </row>
    <row r="57" spans="1:16" x14ac:dyDescent="0.35">
      <c r="A57" s="21"/>
      <c r="B57" s="15"/>
      <c r="C57" s="136"/>
      <c r="D57" s="136"/>
      <c r="E57" s="137"/>
      <c r="F57" s="138"/>
      <c r="G57" s="139"/>
      <c r="H57" s="140"/>
      <c r="I57" s="138"/>
      <c r="J57" s="139"/>
      <c r="K57" s="137"/>
      <c r="L57" s="141"/>
      <c r="M57" s="35"/>
      <c r="N57" s="35"/>
    </row>
    <row r="58" spans="1:16" x14ac:dyDescent="0.35">
      <c r="A58" s="21"/>
      <c r="B58" s="15"/>
      <c r="C58" s="136"/>
      <c r="D58" s="136"/>
      <c r="E58" s="137"/>
      <c r="F58" s="138"/>
      <c r="G58" s="139"/>
      <c r="H58" s="140"/>
      <c r="I58" s="138"/>
      <c r="J58" s="139"/>
      <c r="K58" s="137"/>
      <c r="L58" s="141"/>
      <c r="M58" s="35"/>
      <c r="N58" s="35"/>
    </row>
    <row r="59" spans="1:16" x14ac:dyDescent="0.35">
      <c r="A59" s="21"/>
      <c r="B59" s="15"/>
      <c r="C59" s="136"/>
      <c r="D59" s="136"/>
      <c r="E59" s="137"/>
      <c r="F59" s="138"/>
      <c r="G59" s="139"/>
      <c r="H59" s="140"/>
      <c r="I59" s="138"/>
      <c r="J59" s="139"/>
      <c r="K59" s="137"/>
      <c r="L59" s="141"/>
      <c r="M59" s="35"/>
      <c r="N59" s="35"/>
    </row>
    <row r="60" spans="1:16" x14ac:dyDescent="0.35">
      <c r="A60" s="21"/>
      <c r="B60" s="15"/>
      <c r="C60" s="136"/>
      <c r="D60" s="136"/>
      <c r="E60" s="137"/>
      <c r="F60" s="138"/>
      <c r="G60" s="139"/>
      <c r="H60" s="140"/>
      <c r="I60" s="138"/>
      <c r="J60" s="139"/>
      <c r="K60" s="137"/>
      <c r="L60" s="141"/>
      <c r="M60" s="35"/>
      <c r="N60" s="35"/>
    </row>
    <row r="61" spans="1:16" x14ac:dyDescent="0.35">
      <c r="A61" s="21"/>
      <c r="B61" s="15"/>
      <c r="C61" s="136"/>
      <c r="D61" s="136"/>
      <c r="E61" s="137"/>
      <c r="F61" s="138"/>
      <c r="G61" s="139"/>
      <c r="H61" s="140"/>
      <c r="I61" s="138"/>
      <c r="J61" s="139"/>
      <c r="K61" s="137"/>
      <c r="L61" s="141"/>
      <c r="M61" s="35"/>
      <c r="N61" s="36"/>
    </row>
    <row r="62" spans="1:16" ht="43.5" x14ac:dyDescent="0.35">
      <c r="A62" s="21"/>
      <c r="B62" s="15"/>
      <c r="C62" s="136"/>
      <c r="D62" s="136"/>
      <c r="E62" s="137"/>
      <c r="F62" s="138"/>
      <c r="G62" s="139"/>
      <c r="H62" s="140"/>
      <c r="I62" s="138"/>
      <c r="J62" s="139"/>
      <c r="K62" s="137"/>
      <c r="L62" s="141"/>
      <c r="M62" s="35"/>
      <c r="N62" s="130" t="s">
        <v>816</v>
      </c>
      <c r="O62" s="130" t="s">
        <v>30</v>
      </c>
      <c r="P62" s="131" t="s">
        <v>817</v>
      </c>
    </row>
    <row r="63" spans="1:16" x14ac:dyDescent="0.35">
      <c r="A63" s="21"/>
      <c r="B63" s="15"/>
      <c r="C63" s="155"/>
      <c r="D63" s="155"/>
      <c r="E63" s="156"/>
      <c r="F63" s="157"/>
      <c r="G63" s="158"/>
      <c r="H63" s="159"/>
      <c r="I63" s="157"/>
      <c r="J63" s="158"/>
      <c r="K63" s="137"/>
      <c r="L63" s="141"/>
      <c r="M63" s="141"/>
      <c r="N63" s="132">
        <v>120</v>
      </c>
      <c r="O63" s="132"/>
      <c r="P63" s="133"/>
    </row>
    <row r="64" spans="1:16" x14ac:dyDescent="0.35">
      <c r="A64" s="21"/>
      <c r="B64" s="15"/>
      <c r="C64" s="155"/>
      <c r="D64" s="155"/>
      <c r="E64" s="156"/>
      <c r="F64" s="157"/>
      <c r="G64" s="158"/>
      <c r="H64" s="159"/>
      <c r="I64" s="157"/>
      <c r="J64" s="158"/>
      <c r="K64" s="137"/>
      <c r="L64" s="141"/>
      <c r="M64" s="141"/>
      <c r="N64" s="134">
        <v>120</v>
      </c>
      <c r="O64" s="134"/>
      <c r="P64" s="135"/>
    </row>
    <row r="65" spans="1:16" x14ac:dyDescent="0.35">
      <c r="A65" s="21"/>
      <c r="B65" s="15"/>
      <c r="C65" s="155"/>
      <c r="D65" s="155"/>
      <c r="E65" s="156"/>
      <c r="F65" s="157"/>
      <c r="G65" s="158"/>
      <c r="H65" s="159"/>
      <c r="I65" s="157"/>
      <c r="J65" s="158"/>
      <c r="K65" s="137"/>
      <c r="L65" s="141"/>
      <c r="M65" s="141"/>
      <c r="N65" s="132">
        <v>120</v>
      </c>
      <c r="O65" s="132"/>
      <c r="P65" s="133"/>
    </row>
    <row r="66" spans="1:16" x14ac:dyDescent="0.35">
      <c r="A66" s="21"/>
      <c r="B66" s="15"/>
      <c r="C66" s="155"/>
      <c r="D66" s="155"/>
      <c r="E66" s="156"/>
      <c r="F66" s="157"/>
      <c r="G66" s="158"/>
      <c r="H66" s="159"/>
      <c r="I66" s="157"/>
      <c r="J66" s="158"/>
      <c r="K66" s="137"/>
      <c r="L66" s="141"/>
      <c r="M66" s="141"/>
      <c r="N66" s="134">
        <v>120</v>
      </c>
      <c r="O66" s="134"/>
      <c r="P66" s="135"/>
    </row>
    <row r="67" spans="1:16" x14ac:dyDescent="0.35">
      <c r="A67" s="21"/>
      <c r="B67" s="15"/>
      <c r="C67" s="155"/>
      <c r="D67" s="155"/>
      <c r="E67" s="156"/>
      <c r="F67" s="157"/>
      <c r="G67" s="158"/>
      <c r="H67" s="159"/>
      <c r="I67" s="157"/>
      <c r="J67" s="158"/>
      <c r="K67" s="137"/>
      <c r="L67" s="141"/>
      <c r="M67" s="141"/>
      <c r="N67" s="132">
        <v>120</v>
      </c>
      <c r="O67" s="132"/>
      <c r="P67" s="133"/>
    </row>
    <row r="68" spans="1:16" x14ac:dyDescent="0.35">
      <c r="A68" s="21"/>
      <c r="B68" s="15"/>
      <c r="C68" s="155"/>
      <c r="D68" s="155"/>
      <c r="E68" s="156"/>
      <c r="F68" s="157"/>
      <c r="G68" s="158"/>
      <c r="H68" s="159"/>
      <c r="I68" s="157"/>
      <c r="J68" s="158"/>
      <c r="K68" s="137"/>
      <c r="L68" s="141"/>
      <c r="M68" s="141"/>
      <c r="N68" s="134">
        <v>120</v>
      </c>
      <c r="O68" s="134"/>
      <c r="P68" s="135"/>
    </row>
    <row r="69" spans="1:16" x14ac:dyDescent="0.35">
      <c r="A69" s="21"/>
      <c r="B69" s="15"/>
      <c r="C69" s="155"/>
      <c r="D69" s="155"/>
      <c r="E69" s="156"/>
      <c r="F69" s="157"/>
      <c r="G69" s="158"/>
      <c r="H69" s="159"/>
      <c r="I69" s="157"/>
      <c r="J69" s="158"/>
      <c r="K69" s="137"/>
      <c r="L69" s="141"/>
      <c r="M69" s="141"/>
      <c r="N69" s="132">
        <v>120</v>
      </c>
      <c r="O69" s="132"/>
      <c r="P69" s="133"/>
    </row>
    <row r="70" spans="1:16" x14ac:dyDescent="0.35">
      <c r="A70" s="21"/>
      <c r="B70" s="15"/>
      <c r="C70" s="155"/>
      <c r="D70" s="155"/>
      <c r="E70" s="156"/>
      <c r="F70" s="157"/>
      <c r="G70" s="158"/>
      <c r="H70" s="159"/>
      <c r="I70" s="157"/>
      <c r="J70" s="158"/>
      <c r="K70" s="137"/>
      <c r="L70" s="141"/>
      <c r="M70" s="141"/>
      <c r="N70" s="134">
        <v>120</v>
      </c>
      <c r="O70" s="134"/>
      <c r="P70" s="135"/>
    </row>
    <row r="71" spans="1:16" x14ac:dyDescent="0.35">
      <c r="A71" s="21"/>
      <c r="B71" s="15"/>
      <c r="C71" s="155"/>
      <c r="D71" s="155"/>
      <c r="E71" s="156"/>
      <c r="F71" s="157"/>
      <c r="G71" s="158"/>
      <c r="H71" s="159"/>
      <c r="I71" s="157"/>
      <c r="J71" s="158"/>
      <c r="K71" s="137"/>
      <c r="L71" s="141"/>
      <c r="M71" s="141"/>
      <c r="N71" s="132">
        <v>120</v>
      </c>
      <c r="O71" s="132"/>
      <c r="P71" s="133"/>
    </row>
    <row r="72" spans="1:16" x14ac:dyDescent="0.35">
      <c r="A72" s="21"/>
      <c r="B72" s="15"/>
      <c r="C72" s="155"/>
      <c r="D72" s="155"/>
      <c r="E72" s="156"/>
      <c r="F72" s="157"/>
      <c r="G72" s="158"/>
      <c r="H72" s="159"/>
      <c r="I72" s="157"/>
      <c r="J72" s="158"/>
      <c r="K72" s="137"/>
      <c r="L72" s="141"/>
      <c r="M72" s="141"/>
      <c r="N72" s="134">
        <v>120</v>
      </c>
      <c r="O72" s="134"/>
      <c r="P72" s="135"/>
    </row>
    <row r="73" spans="1:16" x14ac:dyDescent="0.35">
      <c r="A73" s="21"/>
      <c r="B73" s="15"/>
      <c r="C73" s="155"/>
      <c r="D73" s="155"/>
      <c r="E73" s="156"/>
      <c r="F73" s="157"/>
      <c r="G73" s="158"/>
      <c r="H73" s="159"/>
      <c r="I73" s="157"/>
      <c r="J73" s="158"/>
      <c r="K73" s="137"/>
      <c r="L73" s="141"/>
      <c r="M73" s="141"/>
      <c r="N73" s="132">
        <v>120</v>
      </c>
      <c r="O73" s="132"/>
      <c r="P73" s="133"/>
    </row>
    <row r="74" spans="1:16" x14ac:dyDescent="0.35">
      <c r="A74" s="21"/>
      <c r="B74" s="15"/>
      <c r="C74" s="155"/>
      <c r="D74" s="155"/>
      <c r="E74" s="156"/>
      <c r="F74" s="157"/>
      <c r="G74" s="158"/>
      <c r="H74" s="159"/>
      <c r="I74" s="157"/>
      <c r="J74" s="158"/>
      <c r="K74" s="137"/>
      <c r="L74" s="141"/>
      <c r="M74" s="141"/>
      <c r="N74" s="134">
        <v>120</v>
      </c>
      <c r="O74" s="134"/>
      <c r="P74" s="135"/>
    </row>
    <row r="75" spans="1:16" x14ac:dyDescent="0.35">
      <c r="A75" s="21"/>
      <c r="B75" s="15"/>
      <c r="C75" s="155"/>
      <c r="D75" s="155"/>
      <c r="E75" s="156"/>
      <c r="F75" s="157"/>
      <c r="G75" s="158"/>
      <c r="H75" s="159"/>
      <c r="I75" s="157"/>
      <c r="J75" s="158"/>
      <c r="K75" s="137"/>
      <c r="L75" s="141"/>
      <c r="M75" s="141"/>
      <c r="N75" s="134">
        <v>120</v>
      </c>
      <c r="O75" s="134"/>
      <c r="P75" s="135"/>
    </row>
    <row r="76" spans="1:16" x14ac:dyDescent="0.35">
      <c r="A76" s="21"/>
      <c r="B76" s="15"/>
      <c r="C76" s="155"/>
      <c r="D76" s="155"/>
      <c r="E76" s="156"/>
      <c r="F76" s="157"/>
      <c r="G76" s="158"/>
      <c r="H76" s="159"/>
      <c r="I76" s="157"/>
      <c r="J76" s="158"/>
      <c r="K76" s="137"/>
      <c r="L76" s="141"/>
      <c r="M76" s="141"/>
      <c r="N76" s="134">
        <v>120</v>
      </c>
      <c r="O76" s="134"/>
      <c r="P76" s="135"/>
    </row>
    <row r="77" spans="1:16" x14ac:dyDescent="0.35">
      <c r="A77" s="21"/>
      <c r="B77" s="15"/>
      <c r="C77" s="155"/>
      <c r="D77" s="155"/>
      <c r="E77" s="156"/>
      <c r="F77" s="157"/>
      <c r="G77" s="158"/>
      <c r="H77" s="159"/>
      <c r="I77" s="157"/>
      <c r="J77" s="158"/>
      <c r="K77" s="137"/>
      <c r="L77" s="141"/>
      <c r="M77" s="141"/>
      <c r="N77" s="134">
        <v>120</v>
      </c>
      <c r="O77" s="134"/>
      <c r="P77" s="135"/>
    </row>
    <row r="78" spans="1:16" x14ac:dyDescent="0.35">
      <c r="A78" s="21"/>
      <c r="B78" s="15"/>
      <c r="C78" s="155"/>
      <c r="D78" s="155"/>
      <c r="E78" s="156"/>
      <c r="F78" s="157"/>
      <c r="G78" s="158"/>
      <c r="H78" s="159"/>
      <c r="I78" s="157"/>
      <c r="J78" s="158"/>
      <c r="K78" s="137"/>
      <c r="L78" s="141"/>
      <c r="M78" s="141"/>
      <c r="N78" s="134">
        <v>120</v>
      </c>
      <c r="O78" s="134"/>
      <c r="P78" s="135"/>
    </row>
    <row r="79" spans="1:16" x14ac:dyDescent="0.35">
      <c r="A79" s="21"/>
      <c r="B79" s="15"/>
      <c r="C79" s="155"/>
      <c r="D79" s="155"/>
      <c r="E79" s="156"/>
      <c r="F79" s="157"/>
      <c r="G79" s="158"/>
      <c r="H79" s="159"/>
      <c r="I79" s="157"/>
      <c r="J79" s="158"/>
      <c r="K79" s="137"/>
      <c r="L79" s="141"/>
      <c r="M79" s="141"/>
      <c r="N79" s="134">
        <v>120</v>
      </c>
      <c r="O79" s="134"/>
      <c r="P79" s="135"/>
    </row>
    <row r="80" spans="1:16" x14ac:dyDescent="0.35">
      <c r="A80" s="21"/>
      <c r="B80" s="15"/>
      <c r="C80" s="155"/>
      <c r="D80" s="155"/>
      <c r="E80" s="156"/>
      <c r="F80" s="157"/>
      <c r="G80" s="158"/>
      <c r="H80" s="159"/>
      <c r="I80" s="157"/>
      <c r="J80" s="158"/>
      <c r="K80" s="137"/>
      <c r="L80" s="141"/>
      <c r="M80" s="141"/>
      <c r="N80" s="134">
        <v>120</v>
      </c>
      <c r="O80" s="134"/>
      <c r="P80" s="135"/>
    </row>
    <row r="81" spans="1:16" x14ac:dyDescent="0.35">
      <c r="A81" s="21"/>
      <c r="B81" s="15"/>
      <c r="C81" s="155"/>
      <c r="D81" s="155"/>
      <c r="E81" s="156"/>
      <c r="F81" s="157"/>
      <c r="G81" s="158"/>
      <c r="H81" s="159"/>
      <c r="I81" s="157"/>
      <c r="J81" s="158"/>
      <c r="K81" s="137"/>
      <c r="L81" s="141"/>
      <c r="M81" s="141"/>
      <c r="N81" s="134">
        <v>120</v>
      </c>
      <c r="O81" s="134"/>
      <c r="P81" s="135"/>
    </row>
    <row r="82" spans="1:16" x14ac:dyDescent="0.35">
      <c r="A82" s="21"/>
      <c r="B82" s="15"/>
      <c r="C82" s="155"/>
      <c r="D82" s="155"/>
      <c r="E82" s="156"/>
      <c r="F82" s="157"/>
      <c r="G82" s="158"/>
      <c r="H82" s="159"/>
      <c r="I82" s="157"/>
      <c r="J82" s="158"/>
      <c r="K82" s="137"/>
      <c r="L82" s="141"/>
      <c r="M82" s="141"/>
      <c r="N82" s="134">
        <v>120</v>
      </c>
      <c r="O82" s="134"/>
      <c r="P82" s="135"/>
    </row>
    <row r="83" spans="1:16" x14ac:dyDescent="0.35">
      <c r="A83" s="21"/>
      <c r="B83" s="15"/>
      <c r="C83" s="155"/>
      <c r="D83" s="155"/>
      <c r="E83" s="156"/>
      <c r="F83" s="157"/>
      <c r="G83" s="158"/>
      <c r="H83" s="159"/>
      <c r="I83" s="157"/>
      <c r="J83" s="158"/>
      <c r="K83" s="137"/>
      <c r="L83" s="141"/>
      <c r="M83" s="141"/>
      <c r="N83" s="134">
        <v>120</v>
      </c>
      <c r="O83" s="134"/>
      <c r="P83" s="135"/>
    </row>
    <row r="84" spans="1:16" x14ac:dyDescent="0.35">
      <c r="A84" s="21"/>
      <c r="B84" s="15"/>
      <c r="C84" s="155"/>
      <c r="D84" s="155"/>
      <c r="E84" s="156"/>
      <c r="F84" s="157"/>
      <c r="G84" s="158"/>
      <c r="H84" s="159"/>
      <c r="I84" s="157"/>
      <c r="J84" s="158"/>
      <c r="K84" s="137"/>
      <c r="L84" s="141"/>
      <c r="M84" s="141"/>
      <c r="N84" s="134">
        <v>120</v>
      </c>
      <c r="O84" s="134"/>
      <c r="P84" s="135"/>
    </row>
    <row r="85" spans="1:16" x14ac:dyDescent="0.35">
      <c r="A85" s="21"/>
      <c r="B85" s="15"/>
      <c r="C85" s="155"/>
      <c r="D85" s="155"/>
      <c r="E85" s="156"/>
      <c r="F85" s="157"/>
      <c r="G85" s="158"/>
      <c r="H85" s="159"/>
      <c r="I85" s="157"/>
      <c r="J85" s="158"/>
      <c r="K85" s="137"/>
      <c r="L85" s="141"/>
      <c r="M85" s="141"/>
      <c r="N85" s="134">
        <v>120</v>
      </c>
      <c r="O85" s="134"/>
      <c r="P85" s="135"/>
    </row>
    <row r="86" spans="1:16" x14ac:dyDescent="0.35">
      <c r="A86" s="21"/>
      <c r="B86" s="15"/>
      <c r="C86" s="155"/>
      <c r="D86" s="155"/>
      <c r="E86" s="156"/>
      <c r="F86" s="157"/>
      <c r="G86" s="158"/>
      <c r="H86" s="159"/>
      <c r="I86" s="157"/>
      <c r="J86" s="158"/>
      <c r="K86" s="137"/>
      <c r="L86" s="141"/>
      <c r="M86" s="141"/>
      <c r="N86" s="134">
        <v>120</v>
      </c>
      <c r="O86" s="134"/>
      <c r="P86" s="135"/>
    </row>
    <row r="87" spans="1:16" x14ac:dyDescent="0.35">
      <c r="A87" s="21"/>
      <c r="B87" s="15"/>
      <c r="C87" s="155"/>
      <c r="D87" s="155"/>
      <c r="E87" s="156"/>
      <c r="F87" s="157"/>
      <c r="G87" s="158"/>
      <c r="H87" s="159"/>
      <c r="I87" s="157"/>
      <c r="J87" s="158"/>
      <c r="K87" s="137"/>
      <c r="L87" s="141"/>
      <c r="M87" s="141"/>
      <c r="N87" s="134">
        <v>120</v>
      </c>
      <c r="O87" s="134"/>
      <c r="P87" s="135"/>
    </row>
    <row r="88" spans="1:16" x14ac:dyDescent="0.35">
      <c r="A88" s="21"/>
      <c r="B88" s="15"/>
      <c r="C88" s="155"/>
      <c r="D88" s="155"/>
      <c r="E88" s="156"/>
      <c r="F88" s="157"/>
      <c r="G88" s="158"/>
      <c r="H88" s="159"/>
      <c r="I88" s="157"/>
      <c r="J88" s="158"/>
      <c r="K88" s="137"/>
      <c r="L88" s="141"/>
      <c r="M88" s="141"/>
      <c r="N88" s="134">
        <v>120</v>
      </c>
      <c r="O88" s="134"/>
      <c r="P88" s="135"/>
    </row>
    <row r="89" spans="1:16" x14ac:dyDescent="0.35">
      <c r="A89" s="21"/>
      <c r="B89" s="15"/>
      <c r="C89" s="155"/>
      <c r="D89" s="155"/>
      <c r="E89" s="156"/>
      <c r="F89" s="157"/>
      <c r="G89" s="158"/>
      <c r="H89" s="159"/>
      <c r="I89" s="157"/>
      <c r="J89" s="158"/>
      <c r="K89" s="137"/>
      <c r="L89" s="141"/>
      <c r="M89" s="141"/>
      <c r="N89" s="134">
        <v>120</v>
      </c>
      <c r="O89" s="134"/>
      <c r="P89" s="135"/>
    </row>
    <row r="90" spans="1:16" x14ac:dyDescent="0.35">
      <c r="A90" s="21"/>
      <c r="B90" s="15"/>
      <c r="C90" s="155"/>
      <c r="D90" s="155"/>
      <c r="E90" s="156"/>
      <c r="F90" s="157"/>
      <c r="G90" s="158"/>
      <c r="H90" s="159"/>
      <c r="I90" s="157"/>
      <c r="J90" s="158"/>
      <c r="K90" s="137"/>
      <c r="L90" s="141"/>
      <c r="M90" s="141"/>
      <c r="N90" s="134">
        <v>120</v>
      </c>
      <c r="O90" s="134"/>
      <c r="P90" s="135"/>
    </row>
    <row r="91" spans="1:16" x14ac:dyDescent="0.35">
      <c r="A91" s="21"/>
      <c r="B91" s="15"/>
      <c r="C91" s="155"/>
      <c r="D91" s="155"/>
      <c r="E91" s="156"/>
      <c r="F91" s="157"/>
      <c r="G91" s="158"/>
      <c r="H91" s="159"/>
      <c r="I91" s="157"/>
      <c r="J91" s="158"/>
      <c r="K91" s="137"/>
      <c r="L91" s="141"/>
      <c r="M91" s="141"/>
      <c r="N91" s="134">
        <v>120</v>
      </c>
      <c r="O91" s="134"/>
      <c r="P91" s="135"/>
    </row>
    <row r="92" spans="1:16" x14ac:dyDescent="0.35">
      <c r="A92" s="21"/>
      <c r="B92" s="15"/>
      <c r="C92" s="155"/>
      <c r="D92" s="155"/>
      <c r="E92" s="156"/>
      <c r="F92" s="157"/>
      <c r="G92" s="158"/>
      <c r="H92" s="159"/>
      <c r="I92" s="157"/>
      <c r="J92" s="158"/>
      <c r="K92" s="137"/>
      <c r="L92" s="141"/>
      <c r="M92" s="141"/>
      <c r="N92" s="134">
        <v>120</v>
      </c>
      <c r="O92" s="134"/>
      <c r="P92" s="135"/>
    </row>
    <row r="93" spans="1:16" x14ac:dyDescent="0.35">
      <c r="A93" s="21"/>
      <c r="B93" s="15"/>
      <c r="C93" s="155"/>
      <c r="D93" s="155"/>
      <c r="E93" s="156"/>
      <c r="F93" s="157"/>
      <c r="G93" s="158"/>
      <c r="H93" s="159"/>
      <c r="I93" s="157"/>
      <c r="J93" s="158"/>
      <c r="K93" s="137"/>
      <c r="L93" s="141"/>
      <c r="M93" s="141"/>
      <c r="N93" s="134">
        <v>120</v>
      </c>
      <c r="O93" s="134"/>
      <c r="P93" s="135"/>
    </row>
    <row r="94" spans="1:16" x14ac:dyDescent="0.35">
      <c r="A94" s="21"/>
      <c r="B94" s="15"/>
      <c r="C94" s="155"/>
      <c r="D94" s="155"/>
      <c r="E94" s="156"/>
      <c r="F94" s="157"/>
      <c r="G94" s="158"/>
      <c r="H94" s="159"/>
      <c r="I94" s="157"/>
      <c r="J94" s="158"/>
      <c r="K94" s="137"/>
      <c r="L94" s="141"/>
      <c r="M94" s="141"/>
      <c r="N94" s="134">
        <v>120</v>
      </c>
      <c r="O94" s="134"/>
      <c r="P94" s="135"/>
    </row>
    <row r="95" spans="1:16" x14ac:dyDescent="0.35">
      <c r="A95" s="21"/>
      <c r="B95" s="15"/>
      <c r="C95" s="155"/>
      <c r="D95" s="155"/>
      <c r="E95" s="156"/>
      <c r="F95" s="157"/>
      <c r="G95" s="158"/>
      <c r="H95" s="159"/>
      <c r="I95" s="157"/>
      <c r="J95" s="158"/>
      <c r="K95" s="137"/>
      <c r="L95" s="141"/>
      <c r="M95" s="141"/>
      <c r="N95" s="134">
        <v>120</v>
      </c>
      <c r="O95" s="134"/>
      <c r="P95" s="135"/>
    </row>
    <row r="96" spans="1:16" x14ac:dyDescent="0.35">
      <c r="A96" s="21"/>
      <c r="B96" s="15"/>
      <c r="C96" s="155"/>
      <c r="D96" s="155"/>
      <c r="E96" s="156"/>
      <c r="F96" s="157"/>
      <c r="G96" s="158"/>
      <c r="H96" s="159"/>
      <c r="I96" s="157"/>
      <c r="J96" s="158"/>
      <c r="K96" s="137"/>
      <c r="L96" s="141"/>
      <c r="M96" s="141"/>
      <c r="N96" s="134">
        <v>120</v>
      </c>
      <c r="O96" s="134"/>
      <c r="P96" s="135"/>
    </row>
    <row r="97" spans="1:16" x14ac:dyDescent="0.35">
      <c r="A97" s="21"/>
      <c r="B97" s="15"/>
      <c r="C97" s="155"/>
      <c r="D97" s="155"/>
      <c r="E97" s="156"/>
      <c r="F97" s="157"/>
      <c r="G97" s="158"/>
      <c r="H97" s="159"/>
      <c r="I97" s="157"/>
      <c r="J97" s="158"/>
      <c r="K97" s="137"/>
      <c r="L97" s="141"/>
      <c r="M97" s="141"/>
      <c r="N97" s="134">
        <v>120</v>
      </c>
      <c r="O97" s="134"/>
      <c r="P97" s="135"/>
    </row>
    <row r="98" spans="1:16" x14ac:dyDescent="0.35">
      <c r="A98" s="21"/>
      <c r="B98" s="15"/>
      <c r="C98" s="155"/>
      <c r="D98" s="155"/>
      <c r="E98" s="156"/>
      <c r="F98" s="157"/>
      <c r="G98" s="158"/>
      <c r="H98" s="159"/>
      <c r="I98" s="157"/>
      <c r="J98" s="158"/>
      <c r="K98" s="137"/>
      <c r="L98" s="141"/>
      <c r="M98" s="141"/>
      <c r="N98" s="134">
        <v>120</v>
      </c>
      <c r="O98" s="134"/>
      <c r="P98" s="135"/>
    </row>
  </sheetData>
  <autoFilter ref="O1:W22" xr:uid="{1801B691-8F3C-42AF-8D06-E916B4917602}">
    <sortState xmlns:xlrd2="http://schemas.microsoft.com/office/spreadsheetml/2017/richdata2" ref="O2:W25">
      <sortCondition ref="Q1:Q22"/>
    </sortState>
  </autoFilter>
  <dataValidations count="2">
    <dataValidation type="list" allowBlank="1" showInputMessage="1" showErrorMessage="1" sqref="P4" xr:uid="{1019389B-D409-4F29-944F-8378F8C14EAE}">
      <formula1>$P$2:$P$17</formula1>
    </dataValidation>
    <dataValidation type="list" allowBlank="1" showInputMessage="1" showErrorMessage="1" sqref="P8 B48" xr:uid="{D88F4910-1B68-4290-AA08-AAC4A418136E}">
      <formula1>$O$2:$O$94</formula1>
    </dataValidation>
  </dataValidations>
  <hyperlinks>
    <hyperlink ref="Q19" r:id="rId1" tooltip="PROMOTOR GALAGRO NAL CUNDINAMARCA" display="https://my360424.crm.ondemand.com/sap/ap/ui/clogin?saml2=disabled&amp;app.component=%2fSAP_UI_CT%2fMain%2froot.uiccwoc&amp;rootWindow=X&amp;redirectUrl=%2fsap%2fpublic%2fbyd%2fruntime&amp;sap-ui-language=es_es" xr:uid="{80FEFC75-0DD8-4ED9-B54D-8A1E354B291B}"/>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2"/>
  <sheetViews>
    <sheetView zoomScaleNormal="100" workbookViewId="0">
      <pane ySplit="5" topLeftCell="A7" activePane="bottomLeft" state="frozen"/>
      <selection pane="bottomLeft" activeCell="C1" sqref="C1:K1"/>
    </sheetView>
  </sheetViews>
  <sheetFormatPr baseColWidth="10" defaultRowHeight="14.5" x14ac:dyDescent="0.35"/>
  <cols>
    <col min="1" max="1" width="4" customWidth="1"/>
    <col min="2" max="2" width="16.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6.5" thickBot="1" x14ac:dyDescent="0.4">
      <c r="A1" s="204" t="e" vm="1">
        <v>#VALUE!</v>
      </c>
      <c r="B1" s="205"/>
      <c r="C1" s="201" t="s">
        <v>784</v>
      </c>
      <c r="D1" s="202"/>
      <c r="E1" s="202"/>
      <c r="F1" s="202"/>
      <c r="G1" s="202"/>
      <c r="H1" s="202"/>
      <c r="I1" s="202"/>
      <c r="J1" s="202"/>
      <c r="K1" s="203"/>
    </row>
    <row r="2" spans="1:15" ht="13" customHeight="1" x14ac:dyDescent="0.4">
      <c r="A2" s="206"/>
      <c r="B2" s="207"/>
      <c r="C2" s="87" t="s">
        <v>756</v>
      </c>
      <c r="D2" s="88"/>
      <c r="E2" s="88"/>
      <c r="F2" s="88"/>
      <c r="G2" s="88"/>
      <c r="H2" s="220" t="s">
        <v>709</v>
      </c>
      <c r="I2" s="220"/>
      <c r="J2" s="220" t="s">
        <v>815</v>
      </c>
      <c r="K2" s="221"/>
    </row>
    <row r="3" spans="1:15" ht="13" customHeight="1" x14ac:dyDescent="0.4">
      <c r="A3" s="206"/>
      <c r="B3" s="207"/>
      <c r="C3" s="194" t="s">
        <v>753</v>
      </c>
      <c r="D3" s="195"/>
      <c r="E3" s="195"/>
      <c r="F3" s="195"/>
      <c r="G3" s="195"/>
      <c r="H3" s="195" t="s">
        <v>5</v>
      </c>
      <c r="I3" s="195"/>
      <c r="J3" s="222" t="str">
        <f>VLOOKUP(J2,'Tabla dinam gestion comercial'!O:Q,3,0)</f>
        <v>PROMOTOR GALAGRO NAL NORTE SANTANDER 2</v>
      </c>
      <c r="K3" s="223"/>
    </row>
    <row r="4" spans="1:15" ht="13" customHeight="1" x14ac:dyDescent="0.4">
      <c r="A4" s="206"/>
      <c r="B4" s="207"/>
      <c r="C4" s="194" t="s">
        <v>2</v>
      </c>
      <c r="D4" s="195"/>
      <c r="E4" s="195"/>
      <c r="F4" s="195"/>
      <c r="G4" s="195"/>
      <c r="H4" s="195" t="s">
        <v>786</v>
      </c>
      <c r="I4" s="195"/>
      <c r="J4" s="224" t="str">
        <f>VLOOKUP(J2,'Tabla dinam gestion comercial'!O:P,2,0)</f>
        <v>GALAGRO NORTE DE SANTANDER NAL.</v>
      </c>
      <c r="K4" s="225"/>
    </row>
    <row r="5" spans="1:15" ht="13" customHeight="1" thickBot="1" x14ac:dyDescent="0.45">
      <c r="A5" s="208"/>
      <c r="B5" s="209"/>
      <c r="C5" s="196" t="s">
        <v>744</v>
      </c>
      <c r="D5" s="197"/>
      <c r="E5" s="197"/>
      <c r="F5" s="197"/>
      <c r="G5" s="197"/>
      <c r="H5" s="219" t="s">
        <v>49</v>
      </c>
      <c r="I5" s="219"/>
      <c r="J5" s="219" t="str">
        <f>VLOOKUP(J2,'Tabla dinam gestion comercial'!O:R,4,0)</f>
        <v>GALAGRO</v>
      </c>
      <c r="K5" s="226"/>
    </row>
    <row r="6" spans="1:15" ht="15" hidden="1" customHeight="1" thickBot="1" x14ac:dyDescent="0.45">
      <c r="A6" s="122"/>
      <c r="B6" s="123"/>
      <c r="C6" s="114"/>
      <c r="D6" s="114"/>
      <c r="E6" s="114"/>
      <c r="F6" s="114"/>
      <c r="G6" s="114"/>
      <c r="H6" s="114"/>
      <c r="I6" s="114"/>
      <c r="J6" s="114"/>
      <c r="K6" s="115"/>
    </row>
    <row r="7" spans="1:15" ht="20" customHeight="1" thickBot="1" x14ac:dyDescent="0.4">
      <c r="A7" s="181" t="s">
        <v>755</v>
      </c>
      <c r="B7" s="182"/>
      <c r="C7" s="182"/>
      <c r="D7" s="183"/>
      <c r="E7" s="184"/>
      <c r="F7" s="185"/>
      <c r="G7" s="185"/>
      <c r="H7" s="185"/>
      <c r="I7" s="185"/>
      <c r="J7" s="185"/>
      <c r="K7" s="53"/>
    </row>
    <row r="8" spans="1:15" ht="10" customHeight="1" x14ac:dyDescent="0.35">
      <c r="A8" s="188">
        <f>SUMPRODUCT($D$15:$D$26, $F$15:$F$26)</f>
        <v>0.22080083256617306</v>
      </c>
      <c r="B8" s="189"/>
      <c r="C8" s="189"/>
      <c r="D8" s="190"/>
      <c r="E8" s="186"/>
      <c r="F8" s="186"/>
      <c r="G8" s="186"/>
      <c r="H8" s="186"/>
      <c r="I8" s="186"/>
      <c r="J8" s="186"/>
      <c r="K8" s="8"/>
    </row>
    <row r="9" spans="1:15" ht="12" customHeight="1" x14ac:dyDescent="0.35">
      <c r="A9" s="191"/>
      <c r="B9" s="192"/>
      <c r="C9" s="192"/>
      <c r="D9" s="193"/>
      <c r="E9" s="186"/>
      <c r="F9" s="186"/>
      <c r="G9" s="186"/>
      <c r="H9" s="186"/>
      <c r="I9" s="186"/>
      <c r="J9" s="186"/>
      <c r="K9" s="8"/>
      <c r="M9" s="66" t="s">
        <v>60</v>
      </c>
      <c r="N9" s="66">
        <f>A8*100</f>
        <v>22.080083256617307</v>
      </c>
      <c r="O9" s="67" t="str">
        <f>ROUND(N9,0)&amp;"%"</f>
        <v>22%</v>
      </c>
    </row>
    <row r="10" spans="1:15" ht="12.5" customHeight="1" x14ac:dyDescent="0.35">
      <c r="A10" s="191"/>
      <c r="B10" s="192"/>
      <c r="C10" s="192"/>
      <c r="D10" s="193"/>
      <c r="E10" s="186"/>
      <c r="F10" s="186"/>
      <c r="G10" s="186"/>
      <c r="H10" s="186"/>
      <c r="I10" s="186"/>
      <c r="J10" s="186"/>
      <c r="K10" s="8"/>
      <c r="M10" s="66" t="s">
        <v>61</v>
      </c>
      <c r="N10" s="66">
        <f>100-N9</f>
        <v>77.919916743382686</v>
      </c>
      <c r="O10" s="66"/>
    </row>
    <row r="11" spans="1:15" ht="11.5" customHeight="1" x14ac:dyDescent="0.35">
      <c r="A11" s="191"/>
      <c r="B11" s="192"/>
      <c r="C11" s="192"/>
      <c r="D11" s="193"/>
      <c r="E11" s="186"/>
      <c r="F11" s="186"/>
      <c r="G11" s="186"/>
      <c r="H11" s="186"/>
      <c r="I11" s="186"/>
      <c r="J11" s="186"/>
      <c r="K11" s="8"/>
      <c r="M11" s="66" t="s">
        <v>62</v>
      </c>
      <c r="N11" s="66">
        <v>100</v>
      </c>
      <c r="O11" s="66"/>
    </row>
    <row r="12" spans="1:15" ht="21.5" customHeight="1" thickBot="1" x14ac:dyDescent="0.4">
      <c r="A12" s="198" t="str">
        <f>IF(A8&gt;=90%,"Excelente",IF(A8&gt;=75%,"Destacado",IF(A8&gt;=59%,"En desarrollo","Crítico")))</f>
        <v>Crítico</v>
      </c>
      <c r="B12" s="199"/>
      <c r="C12" s="199"/>
      <c r="D12" s="200"/>
      <c r="E12" s="187"/>
      <c r="F12" s="187"/>
      <c r="G12" s="187"/>
      <c r="H12" s="187"/>
      <c r="I12" s="187"/>
      <c r="J12" s="187"/>
      <c r="K12" s="68"/>
    </row>
    <row r="13" spans="1:15" ht="16.5" customHeight="1" thickBot="1" x14ac:dyDescent="0.4">
      <c r="A13" s="210" t="s">
        <v>757</v>
      </c>
      <c r="B13" s="211"/>
      <c r="C13" s="211"/>
      <c r="D13" s="211"/>
      <c r="E13" s="211"/>
      <c r="F13" s="211"/>
      <c r="G13" s="211"/>
      <c r="H13" s="211"/>
      <c r="I13" s="211"/>
      <c r="J13" s="211"/>
      <c r="K13" s="212"/>
    </row>
    <row r="14" spans="1:15" ht="29.5" customHeight="1" thickBot="1" x14ac:dyDescent="0.4">
      <c r="A14" s="227" t="s">
        <v>10</v>
      </c>
      <c r="B14" s="228"/>
      <c r="C14" s="228"/>
      <c r="D14" s="89" t="s">
        <v>743</v>
      </c>
      <c r="E14" s="90" t="s">
        <v>14</v>
      </c>
      <c r="F14" s="90" t="s">
        <v>88</v>
      </c>
      <c r="G14" s="89" t="s">
        <v>788</v>
      </c>
      <c r="H14" s="89" t="s">
        <v>789</v>
      </c>
      <c r="I14" s="89" t="s">
        <v>790</v>
      </c>
      <c r="J14" s="89" t="s">
        <v>793</v>
      </c>
      <c r="K14" s="91" t="s">
        <v>718</v>
      </c>
    </row>
    <row r="15" spans="1:15" ht="90" customHeight="1" thickBot="1" x14ac:dyDescent="0.4">
      <c r="A15" s="92" t="e" vm="2">
        <v>#VALUE!</v>
      </c>
      <c r="B15" s="93" t="s">
        <v>837</v>
      </c>
      <c r="C15" s="94" t="str">
        <f>IF(D15&gt;=90%,"⬤",IF(D15&gt;=75%,"⬤",IF(D15&gt;=60%,"⬤","⬤")))</f>
        <v>⬤</v>
      </c>
      <c r="D15" s="95">
        <f>IFERROR(MIN(100%,SUM(G15:I15)/($J15*3)),0)</f>
        <v>0.7</v>
      </c>
      <c r="E15" s="96">
        <v>0.9</v>
      </c>
      <c r="F15" s="96">
        <v>0.1</v>
      </c>
      <c r="G15" s="97">
        <f>SUMIFS(
'Tabla dinam gestion comercial'!$G:$G,
'Tabla dinam gestion comercial'!$B:$B,$J$2,
'Tabla dinam gestion comercial'!$L:$L,"Enero"
)</f>
        <v>34</v>
      </c>
      <c r="H15" s="97">
        <f>SUMIFS(
'Tabla dinam gestion comercial'!$G:$G,
'Tabla dinam gestion comercial'!$B:$B,$J$2,
'Tabla dinam gestion comercial'!$L:$L,"Febrero"
)</f>
        <v>50</v>
      </c>
      <c r="I15" s="97">
        <f>SUMIFS(
'Tabla dinam gestion comercial'!$G:$G,
'Tabla dinam gestion comercial'!$B:$B,$J$2,
'Tabla dinam gestion comercial'!$L:$L,"Marzo"
)</f>
        <v>42</v>
      </c>
      <c r="J15" s="98" cm="1">
        <f t="array" ref="J15">IFERROR((SUM(_xlfn.UNIQUE(_xlfn._xlws.FILTER('Tabla dinam gestion comercial'!$M:$M,('Tabla dinam gestion comercial'!$B:$B=$J$2)*('Tabla dinam gestion comercial'!$L:$L="Enero"))))+SUM(_xlfn.UNIQUE(_xlfn._xlws.FILTER('Tabla dinam gestion comercial'!$M:$M,('Tabla dinam gestion comercial'!$B:$B=$J$2)*('Tabla dinam gestion comercial'!$L:$L="Febrero"))))+SUM(_xlfn.UNIQUE(_xlfn._xlws.FILTER('Tabla dinam gestion comercial'!$M:$M,('Tabla dinam gestion comercial'!$B:$B=$J$2)*('Tabla dinam gestion comercial'!$L:$L="Marzo")))))/3,0)</f>
        <v>60</v>
      </c>
      <c r="K15" s="64" t="s">
        <v>767</v>
      </c>
      <c r="M15" s="111"/>
      <c r="N15" s="24"/>
      <c r="O15" s="24"/>
    </row>
    <row r="16" spans="1:15" ht="156.5" thickBot="1" x14ac:dyDescent="0.4">
      <c r="A16" s="92" t="e" vm="3">
        <v>#VALUE!</v>
      </c>
      <c r="B16" s="93" t="s">
        <v>760</v>
      </c>
      <c r="C16" s="94" t="str">
        <f t="shared" ref="C16:C27" si="0">IF(D16&gt;=90%,"⬤",IF(D16&gt;=75%,"⬤",IF(D16&gt;=60%,"⬤","⬤")))</f>
        <v>⬤</v>
      </c>
      <c r="D16" s="95">
        <f>IFERROR(MIN(100%,SUM(G16:I16)/($J16*3)),0)</f>
        <v>0.42763157894736842</v>
      </c>
      <c r="E16" s="96">
        <v>0.9</v>
      </c>
      <c r="F16" s="96">
        <v>0.1</v>
      </c>
      <c r="G16" s="97">
        <f>SUMIFS('Tabla dinam gestion comercial'!$D:$D,'Tabla dinam gestion comercial'!$B:$B,$J$2,'Tabla dinam gestion comercial'!$L:$L,"Enero")</f>
        <v>23</v>
      </c>
      <c r="H16" s="97">
        <f>SUMIFS('Tabla dinam gestion comercial'!$D:$D,'Tabla dinam gestion comercial'!$B:$B,$J$2,'Tabla dinam gestion comercial'!$L:$L,"Febrero")</f>
        <v>22</v>
      </c>
      <c r="I16" s="97">
        <f>SUMIFS('Tabla dinam gestion comercial'!$D:$D,'Tabla dinam gestion comercial'!$B:$B,$J$2,'Tabla dinam gestion comercial'!$L:$L,"Marzo")</f>
        <v>20</v>
      </c>
      <c r="J16" s="83">
        <f>IFERROR(SUMIFS('Tabla dinam gestion comercial'!$C$2:$C$62,'Tabla dinam gestion comercial'!$B$2:$B$62,$J$2)/3,0)/3</f>
        <v>50.666666666666664</v>
      </c>
      <c r="K16" s="64" t="s">
        <v>1001</v>
      </c>
    </row>
    <row r="17" spans="1:15" ht="96.5" customHeight="1" thickBot="1" x14ac:dyDescent="0.4">
      <c r="A17" s="92" t="e" vm="4">
        <v>#VALUE!</v>
      </c>
      <c r="B17" s="93" t="s">
        <v>841</v>
      </c>
      <c r="C17" s="94" t="str">
        <f t="shared" si="0"/>
        <v>⬤</v>
      </c>
      <c r="D17" s="95">
        <f t="shared" ref="D17" si="1">IFERROR(AVERAGE(G17/J17,H17/J17,I17/J17),0)</f>
        <v>0</v>
      </c>
      <c r="E17" s="96">
        <v>0.9</v>
      </c>
      <c r="F17" s="96">
        <v>0.1</v>
      </c>
      <c r="G17" s="97">
        <f>SUMIFS('Tabla dinam gestion comercial'!$J:$J,'Tabla dinam gestion comercial'!$B:$B,$J$2,'Tabla dinam gestion comercial'!$L:$L,"*Enero*")</f>
        <v>0</v>
      </c>
      <c r="H17" s="97">
        <f>SUMIFS('Tabla dinam gestion comercial'!$J:$J,'Tabla dinam gestion comercial'!$B:$B,$J$2,'Tabla dinam gestion comercial'!$L:$L,"*Febrero*")</f>
        <v>0</v>
      </c>
      <c r="I17" s="97">
        <f>SUMIFS('Tabla dinam gestion comercial'!$J:$J,'Tabla dinam gestion comercial'!$B:$B,$J$2,'Tabla dinam gestion comercial'!$L:$L,"*Marzo*")</f>
        <v>0</v>
      </c>
      <c r="J17" s="98">
        <f>ROUNDUP(SUMIFS('Tabla dinam gestion comercial'!$I:$I,'Tabla dinam gestion comercial'!$B:$B,$J$2)/3,0)/12</f>
        <v>10</v>
      </c>
      <c r="K17" s="64" t="s">
        <v>768</v>
      </c>
      <c r="M17" s="24"/>
      <c r="N17" s="24"/>
      <c r="O17" s="24"/>
    </row>
    <row r="18" spans="1:15" ht="30.5" customHeight="1" thickBot="1" x14ac:dyDescent="0.4">
      <c r="A18" s="167" t="s">
        <v>10</v>
      </c>
      <c r="B18" s="168"/>
      <c r="C18" s="169"/>
      <c r="D18" s="89" t="s">
        <v>743</v>
      </c>
      <c r="E18" s="90" t="s">
        <v>14</v>
      </c>
      <c r="F18" s="90" t="s">
        <v>88</v>
      </c>
      <c r="G18" s="89" t="s">
        <v>788</v>
      </c>
      <c r="H18" s="89" t="s">
        <v>789</v>
      </c>
      <c r="I18" s="89" t="s">
        <v>790</v>
      </c>
      <c r="J18" s="91" t="s">
        <v>716</v>
      </c>
      <c r="K18" s="99" t="s">
        <v>718</v>
      </c>
    </row>
    <row r="19" spans="1:15" ht="104.5" thickBot="1" x14ac:dyDescent="0.4">
      <c r="A19" s="92" t="e" vm="5">
        <v>#VALUE!</v>
      </c>
      <c r="B19" s="116" t="s">
        <v>23</v>
      </c>
      <c r="C19" s="94" t="str">
        <f t="shared" si="0"/>
        <v>⬤</v>
      </c>
      <c r="D19" s="95">
        <f>IFERROR(MIN(150%,SUM(G19:I19)/J19),0)</f>
        <v>1.0121281464530892E-3</v>
      </c>
      <c r="E19" s="96">
        <v>0.9</v>
      </c>
      <c r="F19" s="96">
        <v>0.2</v>
      </c>
      <c r="G19" s="117">
        <f>SUMIFS(Tecnico!$D:$D,Tecnico!$A:$A,$J$4,Tecnico!$K:$K,"Enero")</f>
        <v>0</v>
      </c>
      <c r="H19" s="117">
        <f>SUMIFS(Tecnico!$D:$D,Tecnico!$A:$A,$J$4,Tecnico!$K:$K,"Febrero")</f>
        <v>0</v>
      </c>
      <c r="I19" s="117">
        <f>SUMIFS(Tecnico!$D:$D,Tecnico!$A:$A,$J$4,Tecnico!$K:$K,"Marzo")</f>
        <v>442300</v>
      </c>
      <c r="J19" s="118">
        <f>SUMIFS(Tecnico!$C:$C,Tecnico!$A:$A,$J$4)</f>
        <v>437000000</v>
      </c>
      <c r="K19" s="60" t="s">
        <v>765</v>
      </c>
    </row>
    <row r="20" spans="1:15" ht="130.5" thickBot="1" x14ac:dyDescent="0.4">
      <c r="A20" s="92" t="e" vm="6">
        <v>#VALUE!</v>
      </c>
      <c r="B20" s="93" t="s">
        <v>13</v>
      </c>
      <c r="C20" s="94" t="str">
        <f t="shared" si="0"/>
        <v>⬤</v>
      </c>
      <c r="D20" s="95">
        <f>IFERROR(AVERAGE(G20:I20)/J20,0)</f>
        <v>1.7241379310344827E-2</v>
      </c>
      <c r="E20" s="96">
        <v>0.9</v>
      </c>
      <c r="F20" s="96">
        <v>0.1</v>
      </c>
      <c r="G20" s="97">
        <f>SUMIFS(Tecnico!$J:$J,Tecnico!$A:$A,$J$4,Tecnico!$K:$K,"Enero")</f>
        <v>0</v>
      </c>
      <c r="H20" s="97">
        <f>SUMIFS(Tecnico!$J:$J,Tecnico!$A:$A,$J$4,Tecnico!$K:$K,"Febrero")</f>
        <v>0</v>
      </c>
      <c r="I20" s="97">
        <f>SUMIFS(Tecnico!$J:$J,Tecnico!$A:$A,$J$4,Tecnico!$K:$K,"Marzo")</f>
        <v>3</v>
      </c>
      <c r="J20" s="100">
        <f>SUMIFS(Tecnico!$H:$H,Tecnico!$A:$A,$J$4)/3</f>
        <v>58</v>
      </c>
      <c r="K20" s="61" t="s">
        <v>1003</v>
      </c>
    </row>
    <row r="21" spans="1:15" ht="30" customHeight="1" thickBot="1" x14ac:dyDescent="0.4">
      <c r="A21" s="167" t="s">
        <v>10</v>
      </c>
      <c r="B21" s="168"/>
      <c r="C21" s="169"/>
      <c r="D21" s="90" t="s">
        <v>742</v>
      </c>
      <c r="E21" s="90" t="s">
        <v>14</v>
      </c>
      <c r="F21" s="90" t="s">
        <v>88</v>
      </c>
      <c r="G21" s="89" t="s">
        <v>788</v>
      </c>
      <c r="H21" s="89" t="s">
        <v>789</v>
      </c>
      <c r="I21" s="89" t="s">
        <v>790</v>
      </c>
      <c r="J21" s="91" t="s">
        <v>716</v>
      </c>
      <c r="K21" s="99" t="s">
        <v>718</v>
      </c>
    </row>
    <row r="22" spans="1:15" ht="120.5" customHeight="1" thickBot="1" x14ac:dyDescent="0.4">
      <c r="A22" s="92" t="e" vm="7">
        <v>#VALUE!</v>
      </c>
      <c r="B22" s="93" t="s">
        <v>82</v>
      </c>
      <c r="C22" s="94" t="str">
        <f t="shared" si="0"/>
        <v>⬤</v>
      </c>
      <c r="D22" s="96">
        <f>IFERROR(SUM(G22:I22)/J22,0%)</f>
        <v>0</v>
      </c>
      <c r="E22" s="96">
        <v>0.9</v>
      </c>
      <c r="F22" s="96">
        <v>0.1</v>
      </c>
      <c r="G22" s="97">
        <f>IFERROR(SUMIFS(Leads!$D:$D,Leads!$C:$C,$J$2,Leads!$I:$I,"Enero"),0)</f>
        <v>0</v>
      </c>
      <c r="H22" s="97">
        <f>IFERROR(SUMIFS(Leads!$D:$D,Leads!$C:$C,$J$2,Leads!$I:$I,"Febrero"),0)</f>
        <v>0</v>
      </c>
      <c r="I22" s="97">
        <f>IFERROR(SUMIFS(Leads!$D:$D,Leads!$C:$C,$J$2,Leads!$I:$I,"Marzo"),0)</f>
        <v>0</v>
      </c>
      <c r="J22" s="100">
        <f>MAX(1,IFERROR(SUMIFS(Leads!$D:$D,Leads!$C:$C,$J$2,Leads!$I:$I,"Enero"),0))+MAX(1,IFERROR(SUMIFS(Leads!$D:$D,Leads!$C:$C,$J$2,Leads!$I:$I,"Febrero"),0))+MAX(1,IFERROR(SUMIFS(Leads!$D:$D,Leads!$C:$C,$J$2,Leads!$I:$I,"Marzo"),0))</f>
        <v>3</v>
      </c>
      <c r="K22" s="61" t="s">
        <v>766</v>
      </c>
    </row>
    <row r="23" spans="1:15" ht="117.5" thickBot="1" x14ac:dyDescent="0.4">
      <c r="A23" s="92" t="e" vm="8">
        <v>#VALUE!</v>
      </c>
      <c r="B23" s="93" t="s">
        <v>746</v>
      </c>
      <c r="C23" s="94" t="str">
        <f t="shared" si="0"/>
        <v>⬤</v>
      </c>
      <c r="D23" s="96">
        <f>IFERROR(SUM(G23:I23)/J23,0%)</f>
        <v>0</v>
      </c>
      <c r="E23" s="96">
        <v>0.9</v>
      </c>
      <c r="F23" s="96">
        <v>0.1</v>
      </c>
      <c r="G23" s="97">
        <f>IFERROR(SUMIFS(Leads!$E:$E,Leads!$C:$C,$J$2,Leads!$I:$I,"Enero"),0)</f>
        <v>0</v>
      </c>
      <c r="H23" s="97">
        <f>IFERROR(SUMIFS(Leads!$E:$E,Leads!$C:$C,$J$2,Leads!$I:$I,"Febrero"),0)</f>
        <v>0</v>
      </c>
      <c r="I23" s="97">
        <f>IFERROR(SUMIFS(Leads!$E:$E,Leads!$C:$C,$J$2,Leads!$I:$I,"Marzo"),0)</f>
        <v>0</v>
      </c>
      <c r="J23" s="98">
        <f>MAX(1,IFERROR(SUMIFS(Leads!$D:$D,Leads!$C:$C,$J$2,Leads!$I:$I,"Enero"),0))+MAX(1,IFERROR(SUMIFS(Leads!$D:$D,Leads!$C:$C,$J$2,Leads!$I:$I,"Febrero"),0))+MAX(1,IFERROR(SUMIFS(Leads!$D:$D,Leads!$C:$C,$J$2,Leads!$I:$I,"Marzo"),0))</f>
        <v>3</v>
      </c>
      <c r="K23" s="62" t="s">
        <v>792</v>
      </c>
    </row>
    <row r="24" spans="1:15" ht="91.5" thickBot="1" x14ac:dyDescent="0.4">
      <c r="A24" s="92" t="e" vm="9">
        <v>#VALUE!</v>
      </c>
      <c r="B24" s="93" t="s">
        <v>717</v>
      </c>
      <c r="C24" s="94" t="str">
        <f t="shared" si="0"/>
        <v>⬤</v>
      </c>
      <c r="D24" s="96">
        <f>MIN(IFERROR(SUM(G24:I24)/J24,0%),150%)</f>
        <v>0</v>
      </c>
      <c r="E24" s="96">
        <v>0.9</v>
      </c>
      <c r="F24" s="96">
        <v>0.1</v>
      </c>
      <c r="G24" s="97">
        <f>COUNTIFS('Act Campo'!$Q$2:$Q$997,$J$4,'Act Campo'!$AF$2:$AF$997,"Enero")</f>
        <v>0</v>
      </c>
      <c r="H24" s="97">
        <f>COUNTIFS('Act Campo'!$Q$2:$Q$997,$J$4,'Act Campo'!$AF$2:$AF$997,"Febrero")</f>
        <v>0</v>
      </c>
      <c r="I24" s="97">
        <f>COUNTIFS('Act Campo'!$Q$2:$Q$997,$J$4,'Act Campo'!$AF$2:$AF$997,"Marzo")</f>
        <v>0</v>
      </c>
      <c r="J24" s="100">
        <f>IFERROR(VLOOKUP(J2,'Tabla dinam gestion comercial'!$O:$U,7,0),0)</f>
        <v>3.5</v>
      </c>
      <c r="K24" s="63" t="s">
        <v>750</v>
      </c>
    </row>
    <row r="25" spans="1:15" ht="120" customHeight="1" thickBot="1" x14ac:dyDescent="0.4">
      <c r="A25" s="92" t="e" vm="9">
        <v>#VALUE!</v>
      </c>
      <c r="B25" s="93" t="s">
        <v>747</v>
      </c>
      <c r="C25" s="94" t="str">
        <f t="shared" si="0"/>
        <v>⬤</v>
      </c>
      <c r="D25" s="96">
        <f>MIN(IFERROR(SUM(G25:I25)/J25,0%),150%)</f>
        <v>0.62222222222222223</v>
      </c>
      <c r="E25" s="96">
        <v>0.9</v>
      </c>
      <c r="F25" s="96">
        <v>0.05</v>
      </c>
      <c r="G25" s="97">
        <f>SUMIFS(Fincas!$F:$F,Fincas!$B:$B,$J$4,Fincas!$G:$G,"Enero")</f>
        <v>1</v>
      </c>
      <c r="H25" s="97">
        <f>SUMIFS(Fincas!$F:$F,Fincas!$B:$B,$J$4,Fincas!$G:$G,"Febrero")</f>
        <v>16</v>
      </c>
      <c r="I25" s="97">
        <f>SUMIFS(Fincas!$F:$F,Fincas!$B:$B,$J$4,Fincas!$G:$G,"Marzo")</f>
        <v>39</v>
      </c>
      <c r="J25" s="100">
        <f>ROUNDUP(_xlfn.MAXIFS('Tabla dinam gestion comercial'!$V:$V,'Tabla dinam gestion comercial'!$O:$O,$J$2)*3,0)</f>
        <v>90</v>
      </c>
      <c r="K25" s="61" t="s">
        <v>727</v>
      </c>
    </row>
    <row r="26" spans="1:15" ht="106" customHeight="1" thickBot="1" x14ac:dyDescent="0.4">
      <c r="A26" s="92" t="e" vm="9">
        <v>#VALUE!</v>
      </c>
      <c r="B26" s="93" t="s">
        <v>25</v>
      </c>
      <c r="C26" s="94" t="str">
        <f t="shared" si="0"/>
        <v>⬤</v>
      </c>
      <c r="D26" s="96">
        <f>MIN(IFERROR(SUM(G26:I26)/J26,0%),150%)</f>
        <v>1.5</v>
      </c>
      <c r="E26" s="96">
        <v>0.9</v>
      </c>
      <c r="F26" s="96">
        <v>0.05</v>
      </c>
      <c r="G26" s="97">
        <f>COUNTIFS(Fincas!$B:$B,$J$4,Fincas!$D:$D,"&lt;&gt;",Fincas!$G:$G,"Enero")</f>
        <v>1</v>
      </c>
      <c r="H26" s="97">
        <f>COUNTIFS(Fincas!$B:$B,$J$4,Fincas!$D:$D,"&lt;&gt;",Fincas!$G:$G,"Febrero")</f>
        <v>7</v>
      </c>
      <c r="I26" s="97">
        <f>COUNTIFS(Fincas!$B:$B,$J$4,Fincas!$D:$D,"&lt;&gt;",Fincas!$G:$G,"Marzo")</f>
        <v>6</v>
      </c>
      <c r="J26" s="100">
        <f>ROUNDUP(SUMIFS('Tabla dinam gestion comercial'!$W:$W,'Tabla dinam gestion comercial'!$O:$O,$J$2),0)</f>
        <v>3</v>
      </c>
      <c r="K26" s="61" t="s">
        <v>728</v>
      </c>
    </row>
    <row r="27" spans="1:15" ht="29.5" hidden="1" customHeight="1" thickBot="1" x14ac:dyDescent="0.45">
      <c r="A27" s="101" t="e" vm="9">
        <v>#VALUE!</v>
      </c>
      <c r="B27" s="102" t="s">
        <v>385</v>
      </c>
      <c r="C27" s="103" t="str">
        <f t="shared" si="0"/>
        <v>⬤</v>
      </c>
      <c r="D27" s="104">
        <f>(D25+D26)/2</f>
        <v>1.0611111111111111</v>
      </c>
      <c r="E27" s="105">
        <v>0.9</v>
      </c>
      <c r="F27" s="105"/>
      <c r="G27" s="106"/>
      <c r="H27" s="106"/>
      <c r="I27" s="106"/>
      <c r="J27" s="107"/>
      <c r="K27" s="108"/>
    </row>
    <row r="28" spans="1:15" ht="14.5" customHeight="1" x14ac:dyDescent="0.35">
      <c r="A28" s="216" t="e" vm="10">
        <v>#VALUE!</v>
      </c>
      <c r="B28" s="164" t="s">
        <v>748</v>
      </c>
      <c r="C28" s="164"/>
      <c r="D28" s="164"/>
      <c r="E28" s="164"/>
      <c r="F28" s="164"/>
      <c r="G28" s="161" t="s">
        <v>22</v>
      </c>
      <c r="H28" s="161" t="s">
        <v>749</v>
      </c>
      <c r="I28" s="161"/>
      <c r="J28" s="161" t="s">
        <v>20</v>
      </c>
      <c r="K28" s="213" t="s">
        <v>19</v>
      </c>
    </row>
    <row r="29" spans="1:15" x14ac:dyDescent="0.35">
      <c r="A29" s="217"/>
      <c r="B29" s="165"/>
      <c r="C29" s="165"/>
      <c r="D29" s="165"/>
      <c r="E29" s="165"/>
      <c r="F29" s="165"/>
      <c r="G29" s="179"/>
      <c r="H29" s="162"/>
      <c r="I29" s="162"/>
      <c r="J29" s="179"/>
      <c r="K29" s="214"/>
    </row>
    <row r="30" spans="1:15" ht="17.5" customHeight="1" thickBot="1" x14ac:dyDescent="0.4">
      <c r="A30" s="218"/>
      <c r="B30" s="166"/>
      <c r="C30" s="166"/>
      <c r="D30" s="166"/>
      <c r="E30" s="166"/>
      <c r="F30" s="166"/>
      <c r="G30" s="180"/>
      <c r="H30" s="163"/>
      <c r="I30" s="163"/>
      <c r="J30" s="180"/>
      <c r="K30" s="215"/>
    </row>
    <row r="31" spans="1:15" ht="17.5" customHeight="1" thickBot="1" x14ac:dyDescent="0.4">
      <c r="A31" s="173" t="s">
        <v>9</v>
      </c>
      <c r="B31" s="174"/>
      <c r="C31" s="175"/>
      <c r="D31" s="173" t="s">
        <v>8</v>
      </c>
      <c r="E31" s="174"/>
      <c r="F31" s="174"/>
      <c r="G31" s="175"/>
      <c r="H31" s="173" t="s">
        <v>791</v>
      </c>
      <c r="I31" s="174"/>
      <c r="J31" s="175"/>
      <c r="K31" s="109" t="s">
        <v>729</v>
      </c>
      <c r="L31" s="70"/>
    </row>
    <row r="32" spans="1:15" ht="164" customHeight="1" thickBot="1" x14ac:dyDescent="0.4">
      <c r="A32" s="176" t="str">
        <f>IF($N$9&gt;=90, "Para los perfeccionistas, siempre hay espacio de mejora. El siguiente reto es la sostenibilidad: analiza esos mínimos detalles o indicadores que rozaron la meta para blindar tu territorio contra cualquier imprevisto futuro. ¡La excelencia no se detiene!", IF($N$9&gt;=75, "El camino a la cima está en los detalles. Para saltar al rango excelente, el foco debe estar en acelerar aquellos indicadores que se quedaron en amarillo o naranja. Ajustar la estrategia en estos puntos específicos liberará todo tu potencial comercial.", IF($N$9&gt;=59,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2" s="177"/>
      <c r="C32" s="178"/>
      <c r="D32" s="170" t="str">
        <f>IF($N$9&gt;=90,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IF($N$9&gt;=75, "Cuentas con bases operativas y comerciales muy sólidas. Has demostrado un rendimiento sobresaliente en tus indicadores clave de gestión, logrando superar las metas esperadas en frentes cruciales. Esta efectividad es tu trampolín hacia el éxito absoluto.", IF($N$9&gt;=59,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período. Esos pequeños o grandes logros demuestran que posees las habilidades necesarias; el objetivo ahora es replicar ese mismo esfuerzo en las de","más áreas."))))</f>
        <v>Incluso en la dificultad, hay terreno ganado. Tu dedicación se hace visible en tus mejores indicadores del período. Esos pequeños o grandes logros demuestran que posees las habilidades necesarias; el objetivo ahora es replicar ese mismo esfuerzo en las demás áreas.</v>
      </c>
      <c r="E32" s="171"/>
      <c r="F32" s="171"/>
      <c r="G32" s="172"/>
      <c r="H32" s="176" t="str">
        <f>IF($N$9&gt;=90, "¡Extraordinario desempeño! Este periodo refleja tu alto compromiso, disciplina y maestría en el territorio. Has alcanzado un nivel de excelencia que inspires al equipo. Mantén este ritmo ganador y sigue liderando con el ejemplo.", IF($N$9&gt;=75,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IF($N$9&gt;=59,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2" s="177"/>
      <c r="J32" s="178"/>
      <c r="K32" s="110" t="str">
        <f>IF($N$9&gt;=90,"Mantener el desempeño y asegurar la sostenibilidad de los resultados. Revisa los indicadores cercanos al límite, documenta las buenas prácticas y replica el modelo de gestión en el territorio.",IF($N$9&gt;=75,"Priorizar los indicadores que quedaron por debajo del nivel excelente. Define acciones puntuales, responsables y fechas de seguimiento para llevar el resultado al siguiente rango.",IF($N$9&gt;=59,"Enfocar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2" s="69"/>
      <c r="M32" s="69"/>
    </row>
  </sheetData>
  <mergeCells count="33">
    <mergeCell ref="C1:K1"/>
    <mergeCell ref="A1:B5"/>
    <mergeCell ref="A21:C21"/>
    <mergeCell ref="A13:K13"/>
    <mergeCell ref="K28:K30"/>
    <mergeCell ref="A28:A30"/>
    <mergeCell ref="H5:I5"/>
    <mergeCell ref="H2:I2"/>
    <mergeCell ref="H3:I3"/>
    <mergeCell ref="H4:I4"/>
    <mergeCell ref="J2:K2"/>
    <mergeCell ref="J3:K3"/>
    <mergeCell ref="J4:K4"/>
    <mergeCell ref="J5:K5"/>
    <mergeCell ref="A14:C14"/>
    <mergeCell ref="J28:J30"/>
    <mergeCell ref="A7:D7"/>
    <mergeCell ref="E7:J12"/>
    <mergeCell ref="A8:D11"/>
    <mergeCell ref="C3:G3"/>
    <mergeCell ref="C4:G4"/>
    <mergeCell ref="C5:G5"/>
    <mergeCell ref="A12:D12"/>
    <mergeCell ref="H28:I30"/>
    <mergeCell ref="B28:F30"/>
    <mergeCell ref="A18:C18"/>
    <mergeCell ref="D32:G32"/>
    <mergeCell ref="D31:G31"/>
    <mergeCell ref="A31:C31"/>
    <mergeCell ref="H32:J32"/>
    <mergeCell ref="A32:C32"/>
    <mergeCell ref="H31:J31"/>
    <mergeCell ref="G28:G30"/>
  </mergeCells>
  <conditionalFormatting sqref="A12">
    <cfRule type="expression" dxfId="47" priority="6">
      <formula>A8&lt;59%</formula>
    </cfRule>
    <cfRule type="expression" dxfId="46" priority="7">
      <formula>AND(A8&gt;=59%,A8&lt;75%)</formula>
    </cfRule>
    <cfRule type="expression" dxfId="45" priority="8">
      <formula>AND(A8+$E$618&gt;=75%,A8&lt;90%)</formula>
    </cfRule>
    <cfRule type="expression" dxfId="44" priority="9">
      <formula>A8&gt;=90%</formula>
    </cfRule>
  </conditionalFormatting>
  <conditionalFormatting sqref="A8:D11">
    <cfRule type="expression" dxfId="43" priority="10">
      <formula>A8&gt;=90%</formula>
    </cfRule>
    <cfRule type="expression" dxfId="42" priority="11">
      <formula>AND(A8&gt;=75%,A8&lt;90%)</formula>
    </cfRule>
    <cfRule type="expression" dxfId="41" priority="12">
      <formula>AND(A8&gt;=59%,A8&lt;75%)</formula>
    </cfRule>
    <cfRule type="expression" dxfId="40" priority="13">
      <formula>A8&lt;59%</formula>
    </cfRule>
  </conditionalFormatting>
  <conditionalFormatting sqref="C15:C17 C19:C20 C22:C27">
    <cfRule type="expression" dxfId="39" priority="1">
      <formula>$D15&lt;60%</formula>
    </cfRule>
    <cfRule type="expression" dxfId="38" priority="2">
      <formula>AND($D15&gt;=60%,$D15&lt;75%)</formula>
    </cfRule>
    <cfRule type="expression" dxfId="37" priority="3">
      <formula>AND($D15&gt;=75%,$D15&lt;90%)</formula>
    </cfRule>
    <cfRule type="expression" dxfId="36" priority="4">
      <formula>$D15&gt;=90%</formula>
    </cfRule>
  </conditionalFormatting>
  <pageMargins left="0.11811023622047245" right="0.11811023622047245" top="7.874015748031496E-2" bottom="7.874015748031496E-2" header="3.937007874015748E-2" footer="0"/>
  <pageSetup scale="82" orientation="portrait" r:id="rId1"/>
  <rowBreaks count="1" manualBreakCount="1">
    <brk id="20" max="10"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comercial'!$O$2:$O$31</xm:f>
          </x14:formula1>
          <xm:sqref>J2:K2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2"/>
  <sheetViews>
    <sheetView zoomScaleNormal="100" workbookViewId="0">
      <pane ySplit="5" topLeftCell="A6" activePane="bottomLeft" state="frozen"/>
      <selection pane="bottomLeft" activeCell="H2" sqref="H2:I2"/>
    </sheetView>
  </sheetViews>
  <sheetFormatPr baseColWidth="10" defaultRowHeight="14.5" x14ac:dyDescent="0.35"/>
  <cols>
    <col min="1" max="1" width="4.26953125" customWidth="1"/>
    <col min="2" max="2" width="13.54296875" customWidth="1"/>
    <col min="3" max="3" width="4.08984375" customWidth="1"/>
    <col min="4" max="4" width="13.90625" customWidth="1"/>
    <col min="5" max="5" width="6.81640625" customWidth="1"/>
    <col min="6" max="6" width="7.36328125" customWidth="1"/>
    <col min="7" max="7" width="13.54296875" customWidth="1"/>
    <col min="8" max="8" width="13.26953125" customWidth="1"/>
    <col min="9" max="9" width="29.26953125" customWidth="1"/>
  </cols>
  <sheetData>
    <row r="1" spans="1:13" ht="15" thickBot="1" x14ac:dyDescent="0.4">
      <c r="A1" s="204" t="e" vm="11">
        <v>#VALUE!</v>
      </c>
      <c r="B1" s="205"/>
      <c r="C1" s="205"/>
      <c r="D1" s="253" t="s">
        <v>785</v>
      </c>
      <c r="E1" s="254"/>
      <c r="F1" s="254"/>
      <c r="G1" s="254"/>
      <c r="H1" s="254"/>
      <c r="I1" s="255"/>
    </row>
    <row r="2" spans="1:13" x14ac:dyDescent="0.35">
      <c r="A2" s="206"/>
      <c r="B2" s="207"/>
      <c r="C2" s="207"/>
      <c r="D2" s="268" t="s">
        <v>752</v>
      </c>
      <c r="E2" s="232"/>
      <c r="F2" s="232"/>
      <c r="G2" s="2" t="s">
        <v>6</v>
      </c>
      <c r="H2" s="232" t="s">
        <v>778</v>
      </c>
      <c r="I2" s="233"/>
    </row>
    <row r="3" spans="1:13" x14ac:dyDescent="0.35">
      <c r="A3" s="206"/>
      <c r="B3" s="207"/>
      <c r="C3" s="207"/>
      <c r="D3" s="229" t="s">
        <v>753</v>
      </c>
      <c r="E3" s="224"/>
      <c r="F3" s="224"/>
      <c r="G3" s="3" t="s">
        <v>5</v>
      </c>
      <c r="H3" s="224" t="e">
        <f>VLOOKUP(H2,'Tabla dinam gestion comercial'!O:Q,3,0)</f>
        <v>#N/A</v>
      </c>
      <c r="I3" s="225"/>
    </row>
    <row r="4" spans="1:13" x14ac:dyDescent="0.35">
      <c r="A4" s="206"/>
      <c r="B4" s="207"/>
      <c r="C4" s="207"/>
      <c r="D4" s="229" t="s">
        <v>754</v>
      </c>
      <c r="E4" s="224"/>
      <c r="F4" s="224"/>
      <c r="G4" s="3" t="s">
        <v>786</v>
      </c>
      <c r="H4" s="224" t="e">
        <f>VLOOKUP(H2,'Tabla dinam gestion comercial'!O:P,2,0)</f>
        <v>#N/A</v>
      </c>
      <c r="I4" s="225"/>
    </row>
    <row r="5" spans="1:13" ht="15" thickBot="1" x14ac:dyDescent="0.4">
      <c r="A5" s="208"/>
      <c r="B5" s="209"/>
      <c r="C5" s="209"/>
      <c r="D5" s="230" t="s">
        <v>744</v>
      </c>
      <c r="E5" s="231"/>
      <c r="F5" s="231"/>
      <c r="G5" s="4" t="s">
        <v>49</v>
      </c>
      <c r="H5" s="234" t="e">
        <f>VLOOKUP(H2,'Tabla dinam gestion comercial'!O:R,4,0)</f>
        <v>#N/A</v>
      </c>
      <c r="I5" s="235"/>
    </row>
    <row r="6" spans="1:13" ht="22" customHeight="1" thickBot="1" x14ac:dyDescent="0.4">
      <c r="A6" s="181" t="s">
        <v>755</v>
      </c>
      <c r="B6" s="182"/>
      <c r="C6" s="182"/>
      <c r="D6" s="183"/>
      <c r="E6" s="184"/>
      <c r="F6" s="185"/>
      <c r="G6" s="185"/>
      <c r="H6" s="185"/>
      <c r="I6" s="236"/>
      <c r="J6" s="13"/>
    </row>
    <row r="7" spans="1:13" ht="13" customHeight="1" x14ac:dyDescent="0.35">
      <c r="A7" s="260" t="e">
        <f>SUMPRODUCT($D$14:$D$25, $F$14:$F$25)</f>
        <v>#DIV/0!</v>
      </c>
      <c r="B7" s="261"/>
      <c r="C7" s="261"/>
      <c r="D7" s="262"/>
      <c r="E7" s="237"/>
      <c r="F7" s="186"/>
      <c r="G7" s="186"/>
      <c r="H7" s="186"/>
      <c r="I7" s="238"/>
    </row>
    <row r="8" spans="1:13" ht="16.5" customHeight="1" x14ac:dyDescent="0.35">
      <c r="A8" s="263"/>
      <c r="B8" s="264"/>
      <c r="C8" s="264"/>
      <c r="D8" s="265"/>
      <c r="E8" s="237"/>
      <c r="F8" s="186"/>
      <c r="G8" s="186"/>
      <c r="H8" s="186"/>
      <c r="I8" s="238"/>
      <c r="K8" s="66" t="s">
        <v>60</v>
      </c>
      <c r="L8" s="66" t="e">
        <f>A7*100</f>
        <v>#DIV/0!</v>
      </c>
      <c r="M8" s="67" t="e">
        <f>ROUND(L8,0)&amp;"%"</f>
        <v>#DIV/0!</v>
      </c>
    </row>
    <row r="9" spans="1:13" ht="16.5" customHeight="1" x14ac:dyDescent="0.35">
      <c r="A9" s="263"/>
      <c r="B9" s="264"/>
      <c r="C9" s="264"/>
      <c r="D9" s="265"/>
      <c r="E9" s="237"/>
      <c r="F9" s="186"/>
      <c r="G9" s="186"/>
      <c r="H9" s="186"/>
      <c r="I9" s="238"/>
      <c r="K9" s="66" t="s">
        <v>61</v>
      </c>
      <c r="L9" s="66" t="e">
        <f>100-L8</f>
        <v>#DIV/0!</v>
      </c>
      <c r="M9" s="66"/>
    </row>
    <row r="10" spans="1:13" ht="8.5" customHeight="1" x14ac:dyDescent="0.35">
      <c r="A10" s="263"/>
      <c r="B10" s="264"/>
      <c r="C10" s="264"/>
      <c r="D10" s="265"/>
      <c r="E10" s="237"/>
      <c r="F10" s="186"/>
      <c r="G10" s="186"/>
      <c r="H10" s="186"/>
      <c r="I10" s="238"/>
      <c r="K10" s="66" t="s">
        <v>62</v>
      </c>
      <c r="L10" s="66">
        <v>100</v>
      </c>
      <c r="M10" s="66"/>
    </row>
    <row r="11" spans="1:13" ht="20" customHeight="1" thickBot="1" x14ac:dyDescent="0.4">
      <c r="A11" s="266" t="e">
        <f>IF(A7&gt;=90%,"Excelente",IF(A7&gt;=75%,"Destacado",IF(A7&gt;=59%,"En desarrollo","Crítico")))</f>
        <v>#DIV/0!</v>
      </c>
      <c r="B11" s="267"/>
      <c r="C11" s="267"/>
      <c r="D11" s="267"/>
      <c r="E11" s="239"/>
      <c r="F11" s="187"/>
      <c r="G11" s="187"/>
      <c r="H11" s="187"/>
      <c r="I11" s="240"/>
    </row>
    <row r="12" spans="1:13" ht="17.5" customHeight="1" thickBot="1" x14ac:dyDescent="0.5">
      <c r="A12" s="257" t="s">
        <v>16</v>
      </c>
      <c r="B12" s="258"/>
      <c r="C12" s="258"/>
      <c r="D12" s="258"/>
      <c r="E12" s="258"/>
      <c r="F12" s="258"/>
      <c r="G12" s="258"/>
      <c r="H12" s="258"/>
      <c r="I12" s="259"/>
    </row>
    <row r="13" spans="1:13" ht="45.5" customHeight="1" thickBot="1" x14ac:dyDescent="0.4">
      <c r="A13" s="227" t="s">
        <v>10</v>
      </c>
      <c r="B13" s="228"/>
      <c r="C13" s="228"/>
      <c r="D13" s="125" t="s">
        <v>15</v>
      </c>
      <c r="E13" s="89" t="s">
        <v>14</v>
      </c>
      <c r="F13" s="89" t="s">
        <v>88</v>
      </c>
      <c r="G13" s="112" t="s">
        <v>758</v>
      </c>
      <c r="H13" s="112" t="s">
        <v>759</v>
      </c>
      <c r="I13" s="91" t="s">
        <v>718</v>
      </c>
    </row>
    <row r="14" spans="1:13" ht="100" customHeight="1" thickBot="1" x14ac:dyDescent="0.4">
      <c r="A14" s="71" t="e" vm="12">
        <v>#VALUE!</v>
      </c>
      <c r="B14" s="74" t="s">
        <v>787</v>
      </c>
      <c r="C14" s="56" t="e">
        <f>IF(D14&gt;=90%,"⬤",IF(D14&gt;=75%,"⬤",IF(D14&gt;=60%,"⬤","⬤")))</f>
        <v>#DIV/0!</v>
      </c>
      <c r="D14" s="75" t="e">
        <f>MIN(100%,G14/H14)</f>
        <v>#DIV/0!</v>
      </c>
      <c r="E14" s="76">
        <v>0.9</v>
      </c>
      <c r="F14" s="76">
        <v>0.1</v>
      </c>
      <c r="G14" s="77">
        <f>SUMIFS('Tabla dinam gestion comercial'!$F:$F,'Tabla dinam gestion comercial'!$A:$A,$H$4)</f>
        <v>0</v>
      </c>
      <c r="H14" s="83">
        <f>SUMIFS('Tabla dinam gestion comercial'!$M:$M,'Tabla dinam gestion comercial'!$A:$A,$H$4,'Tabla dinam gestion comercial'!$L:$L,"Enero")+SUMIFS('Tabla dinam gestion comercial'!$M:$M,'Tabla dinam gestion comercial'!$A:$A,$H$4,'Tabla dinam gestion comercial'!$L:$L,"Febrero")+SUMIFS('Tabla dinam gestion comercial'!$M:$M,'Tabla dinam gestion comercial'!$A:$A,$H$4,'Tabla dinam gestion comercial'!$L:$L,"Marzo")</f>
        <v>0</v>
      </c>
      <c r="I14" s="65" t="s">
        <v>734</v>
      </c>
    </row>
    <row r="15" spans="1:13" ht="119.5" customHeight="1" thickBot="1" x14ac:dyDescent="0.4">
      <c r="A15" s="71" t="e" vm="13">
        <v>#VALUE!</v>
      </c>
      <c r="B15" s="74" t="s">
        <v>760</v>
      </c>
      <c r="C15" s="56" t="str">
        <f t="shared" ref="C15:C26" si="0">IF(D15&gt;=90%,"⬤",IF(D15&gt;=75%,"⬤",IF(D15&gt;=60%,"⬤","⬤")))</f>
        <v>⬤</v>
      </c>
      <c r="D15" s="75">
        <f>IFERROR(MIN(100%,G15/H15),0)</f>
        <v>0</v>
      </c>
      <c r="E15" s="76">
        <v>0.9</v>
      </c>
      <c r="F15" s="76">
        <v>0.1</v>
      </c>
      <c r="G15" s="77">
        <f>SUMIFS('Tabla dinam gestion comercial'!$D:$D,'Tabla dinam gestion comercial'!$A:$A,$H$4,'Tabla dinam gestion comercial'!$L:$L,"Enero")+SUMIFS('Tabla dinam gestion comercial'!$D:$D,'Tabla dinam gestion comercial'!$A:$A,$H$4,'Tabla dinam gestion comercial'!$L:$L,"Febrero")+SUMIFS('Tabla dinam gestion comercial'!$D:$D,'Tabla dinam gestion comercial'!$A:$A,$H$4,'Tabla dinam gestion comercial'!$L:$L,"Marzo")</f>
        <v>0</v>
      </c>
      <c r="H15" s="83">
        <f>(SUMIFS('Tabla dinam gestion comercial'!$C:$C,'Tabla dinam gestion comercial'!$A:$A,$H$4,'Tabla dinam gestion comercial'!$L:$L,"Enero")+SUMIFS('Tabla dinam gestion comercial'!$C:$C,'Tabla dinam gestion comercial'!$A:$A,$H$4,'Tabla dinam gestion comercial'!$L:$L,"Febrero")+SUMIFS('Tabla dinam gestion comercial'!$C:$C,'Tabla dinam gestion comercial'!$A:$A,$H$4,'Tabla dinam gestion comercial'!$L:$L,"Marzo"))/3</f>
        <v>0</v>
      </c>
      <c r="I15" s="64" t="s">
        <v>735</v>
      </c>
    </row>
    <row r="16" spans="1:13" ht="90" customHeight="1" thickBot="1" x14ac:dyDescent="0.4">
      <c r="A16" s="55" t="e" vm="14">
        <v>#VALUE!</v>
      </c>
      <c r="B16" s="73" t="s">
        <v>761</v>
      </c>
      <c r="C16" s="54" t="e">
        <f t="shared" si="0"/>
        <v>#DIV/0!</v>
      </c>
      <c r="D16" s="44" t="e">
        <f>G16/H16</f>
        <v>#DIV/0!</v>
      </c>
      <c r="E16" s="11">
        <v>0.9</v>
      </c>
      <c r="F16" s="11">
        <v>0.1</v>
      </c>
      <c r="G16" s="12">
        <f>SUMIFS('Tabla dinam gestion comercial'!$I:$I,'Tabla dinam gestion comercial'!$A:$A,$H$4,'Tabla dinam gestion comercial'!$L:$L,"Marzo")</f>
        <v>0</v>
      </c>
      <c r="H16" s="45">
        <f>ROUNDUP((SUMIFS('Tabla dinam gestion comercial'!$H:$H,'Tabla dinam gestion comercial'!$A:$A,$H$4,'Tabla dinam gestion comercial'!$L:$L,"Enero")+SUMIFS('Tabla dinam gestion comercial'!$H:$H,'Tabla dinam gestion comercial'!$A:$A,$H$4,'Tabla dinam gestion comercial'!$L:$L,"Febrero")+SUMIFS('Tabla dinam gestion comercial'!$H:$H,'Tabla dinam gestion comercial'!$A:$A,$H$4,'Tabla dinam gestion comercial'!$L:$L,"Marzo"))/12,0)</f>
        <v>0</v>
      </c>
      <c r="I16" s="85" t="s">
        <v>736</v>
      </c>
    </row>
    <row r="17" spans="1:13" ht="37" customHeight="1" thickBot="1" x14ac:dyDescent="0.4">
      <c r="A17" s="167" t="s">
        <v>10</v>
      </c>
      <c r="B17" s="168"/>
      <c r="C17" s="256"/>
      <c r="D17" s="113" t="s">
        <v>15</v>
      </c>
      <c r="E17" s="112" t="s">
        <v>14</v>
      </c>
      <c r="F17" s="112" t="s">
        <v>88</v>
      </c>
      <c r="G17" s="112" t="s">
        <v>762</v>
      </c>
      <c r="H17" s="112" t="s">
        <v>716</v>
      </c>
      <c r="I17" s="112" t="s">
        <v>718</v>
      </c>
    </row>
    <row r="18" spans="1:13" ht="76" customHeight="1" thickBot="1" x14ac:dyDescent="0.4">
      <c r="A18" s="71" t="e" vm="15">
        <v>#VALUE!</v>
      </c>
      <c r="B18" s="116" t="s">
        <v>12</v>
      </c>
      <c r="C18" s="56" t="str">
        <f t="shared" si="0"/>
        <v>⬤</v>
      </c>
      <c r="D18" s="75" t="str">
        <f>IFERROR((G18/H18),"0")</f>
        <v>0</v>
      </c>
      <c r="E18" s="76">
        <v>0.9</v>
      </c>
      <c r="F18" s="76">
        <v>0.2</v>
      </c>
      <c r="G18" s="81">
        <f>SUMIFS(Tecnico!$D:$D,Tecnico!$A:$A,$H$4)</f>
        <v>0</v>
      </c>
      <c r="H18" s="82">
        <f>SUMIFS(Tecnico!$C:$C,Tecnico!$A:$A,$H$4)</f>
        <v>0</v>
      </c>
      <c r="I18" s="60" t="s">
        <v>737</v>
      </c>
    </row>
    <row r="19" spans="1:13" ht="83" customHeight="1" thickBot="1" x14ac:dyDescent="0.4">
      <c r="A19" s="71" t="e" vm="16">
        <v>#VALUE!</v>
      </c>
      <c r="B19" s="74" t="s">
        <v>13</v>
      </c>
      <c r="C19" s="56" t="str">
        <f t="shared" si="0"/>
        <v>⬤</v>
      </c>
      <c r="D19" s="76">
        <f>IF(AND(G19=0, H19=0), 100%, IF(G19=0, 0%, G19/H19))</f>
        <v>1</v>
      </c>
      <c r="E19" s="76">
        <v>0.9</v>
      </c>
      <c r="F19" s="76">
        <v>0.1</v>
      </c>
      <c r="G19" s="77">
        <f>SUMIFS(Tecnico!$J:$J,Tecnico!$A:$A,$H$4)</f>
        <v>0</v>
      </c>
      <c r="H19" s="78">
        <f>SUMIFS(Tecnico!$H:$H,Tecnico!$A:$A,$H$4)/3</f>
        <v>0</v>
      </c>
      <c r="I19" s="61" t="s">
        <v>738</v>
      </c>
    </row>
    <row r="20" spans="1:13" ht="37" customHeight="1" thickBot="1" x14ac:dyDescent="0.4">
      <c r="A20" s="167" t="s">
        <v>10</v>
      </c>
      <c r="B20" s="168"/>
      <c r="C20" s="256"/>
      <c r="D20" s="113" t="s">
        <v>15</v>
      </c>
      <c r="E20" s="112" t="s">
        <v>14</v>
      </c>
      <c r="F20" s="112" t="s">
        <v>88</v>
      </c>
      <c r="G20" s="112" t="s">
        <v>762</v>
      </c>
      <c r="H20" s="112" t="s">
        <v>716</v>
      </c>
      <c r="I20" s="112" t="s">
        <v>718</v>
      </c>
    </row>
    <row r="21" spans="1:13" ht="103" customHeight="1" thickBot="1" x14ac:dyDescent="0.4">
      <c r="A21" s="71" t="e" vm="17">
        <v>#VALUE!</v>
      </c>
      <c r="B21" s="74" t="s">
        <v>82</v>
      </c>
      <c r="C21" s="56" t="str">
        <f t="shared" si="0"/>
        <v>⬤</v>
      </c>
      <c r="D21" s="76">
        <f>IF(H21=0,0,IFERROR(G21/H21,0))</f>
        <v>0</v>
      </c>
      <c r="E21" s="76">
        <v>0.9</v>
      </c>
      <c r="F21" s="76">
        <v>0.1</v>
      </c>
      <c r="G21" s="77">
        <f>SUMIFS(Leads!$P:$P,Leads!$L:$L,$H$4)</f>
        <v>0</v>
      </c>
      <c r="H21" s="78" cm="1">
        <f t="array" ref="H21">IFERROR(COUNTA(_xlfn.UNIQUE(_xlfn._xlws.FILTER('Tabla dinam gestion comercial'!$O:$O,(TRIM('Tabla dinam gestion comercial'!$P:$P)=TRIM($H$4))*('Tabla dinam gestion comercial'!$O:$O&lt;&gt;""))))*3,0)</f>
        <v>3</v>
      </c>
      <c r="I21" s="61" t="s">
        <v>739</v>
      </c>
    </row>
    <row r="22" spans="1:13" ht="98.5" customHeight="1" thickBot="1" x14ac:dyDescent="0.4">
      <c r="A22" s="71" t="e" vm="17">
        <v>#VALUE!</v>
      </c>
      <c r="B22" s="74" t="s">
        <v>746</v>
      </c>
      <c r="C22" s="56" t="str">
        <f t="shared" si="0"/>
        <v>⬤</v>
      </c>
      <c r="D22" s="76">
        <f>IF(H22=0,0,IFERROR(G22/H22,0))</f>
        <v>0</v>
      </c>
      <c r="E22" s="76">
        <v>0.9</v>
      </c>
      <c r="F22" s="76">
        <v>0.1</v>
      </c>
      <c r="G22" s="77">
        <f>SUMIFS(Leads!$P:$P,Leads!$L:$L,$H$4)</f>
        <v>0</v>
      </c>
      <c r="H22" s="78" cm="1">
        <f t="array" ref="H22">IFERROR(COUNTA(_xlfn.UNIQUE(_xlfn._xlws.FILTER('Tabla dinam gestion comercial'!$O:$O,(TRIM('Tabla dinam gestion comercial'!$P:$P)=TRIM($H$4))*('Tabla dinam gestion comercial'!$O:$O&lt;&gt;""))))*3,0)</f>
        <v>3</v>
      </c>
      <c r="I22" s="62" t="s">
        <v>740</v>
      </c>
    </row>
    <row r="23" spans="1:13" ht="97" customHeight="1" thickBot="1" x14ac:dyDescent="0.4">
      <c r="A23" s="71" t="e" vm="9">
        <v>#VALUE!</v>
      </c>
      <c r="B23" s="74" t="s">
        <v>763</v>
      </c>
      <c r="C23" s="56" t="e">
        <f t="shared" si="0"/>
        <v>#N/A</v>
      </c>
      <c r="D23" s="76" t="e">
        <f>MIN(G23/H23,150%)</f>
        <v>#N/A</v>
      </c>
      <c r="E23" s="76">
        <v>0.9</v>
      </c>
      <c r="F23" s="76">
        <v>0.1</v>
      </c>
      <c r="G23" s="77">
        <f>IFERROR(COUNTIF('Act Campo'!$Q$2:$Q$971,$H$4),0)</f>
        <v>0</v>
      </c>
      <c r="H23" s="79" t="e">
        <f>VLOOKUP(H4,'Tabla dinam gestion comercial'!P:U,6,0)</f>
        <v>#N/A</v>
      </c>
      <c r="I23" s="63" t="s">
        <v>741</v>
      </c>
    </row>
    <row r="24" spans="1:13" ht="93" customHeight="1" thickBot="1" x14ac:dyDescent="0.4">
      <c r="A24" s="71" t="e" vm="9">
        <v>#VALUE!</v>
      </c>
      <c r="B24" s="74" t="s">
        <v>747</v>
      </c>
      <c r="C24" s="56" t="str">
        <f t="shared" si="0"/>
        <v>⬤</v>
      </c>
      <c r="D24" s="75">
        <f>IFERROR(MIN(G24/H24,150%),0)</f>
        <v>0</v>
      </c>
      <c r="E24" s="76">
        <v>0.9</v>
      </c>
      <c r="F24" s="76">
        <v>0.05</v>
      </c>
      <c r="G24" s="77">
        <f>SUMIF(Fincas!$B:$B, $H$4, Fincas!$F:$F)</f>
        <v>0</v>
      </c>
      <c r="H24" s="78">
        <f>ROUNDUP(SUMIFS('Tabla dinam gestion comercial'!$V:$V,'Tabla dinam gestion comercial'!$P:$P,$H$4,'Tabla dinam gestion comercial'!$Q:$Q,"*Promotor*")*3,0)</f>
        <v>0</v>
      </c>
      <c r="I24" s="61" t="s">
        <v>727</v>
      </c>
    </row>
    <row r="25" spans="1:13" ht="82" customHeight="1" thickBot="1" x14ac:dyDescent="0.4">
      <c r="A25" s="71" t="e" vm="9">
        <v>#VALUE!</v>
      </c>
      <c r="B25" s="74" t="s">
        <v>25</v>
      </c>
      <c r="C25" s="56" t="str">
        <f t="shared" si="0"/>
        <v>⬤</v>
      </c>
      <c r="D25" s="75">
        <f>IFERROR(MIN(G25/H25, 1.5), 0)</f>
        <v>0</v>
      </c>
      <c r="E25" s="76">
        <v>0.9</v>
      </c>
      <c r="F25" s="76">
        <v>0.05</v>
      </c>
      <c r="G25" s="77">
        <f>COUNTIFS(Fincas!$B:$B, $H$4, Fincas!$D:$D, "&lt;&gt;")</f>
        <v>0</v>
      </c>
      <c r="H25" s="78">
        <f>IFERROR(ROUNDUP(SUMIFS('Tabla dinam gestion comercial'!$W:$W,'Tabla dinam gestion comercial'!$P:$P,$H$4,'Tabla dinam gestion comercial'!$Q:$Q,"*PROMOTOR*"),0),0)</f>
        <v>0</v>
      </c>
      <c r="I25" s="61" t="s">
        <v>728</v>
      </c>
    </row>
    <row r="26" spans="1:13" ht="19" hidden="1" thickBot="1" x14ac:dyDescent="0.4">
      <c r="A26" s="25" t="e" vm="9">
        <v>#VALUE!</v>
      </c>
      <c r="B26" t="s">
        <v>385</v>
      </c>
      <c r="C26" s="10" t="str">
        <f t="shared" si="0"/>
        <v>⬤</v>
      </c>
      <c r="D26" s="31">
        <f>(D24+D25)/2</f>
        <v>0</v>
      </c>
      <c r="E26" s="11">
        <v>0.9</v>
      </c>
      <c r="F26" s="11">
        <f>F24+F25</f>
        <v>0.1</v>
      </c>
      <c r="G26" s="12"/>
      <c r="H26" s="23"/>
      <c r="I26" s="14"/>
    </row>
    <row r="27" spans="1:13" ht="14.5" customHeight="1" x14ac:dyDescent="0.35">
      <c r="A27" s="269" t="e" vm="10">
        <v>#VALUE!</v>
      </c>
      <c r="B27" s="164" t="s">
        <v>748</v>
      </c>
      <c r="C27" s="164"/>
      <c r="D27" s="164"/>
      <c r="E27" s="162" t="s">
        <v>22</v>
      </c>
      <c r="F27" s="162"/>
      <c r="G27" s="162" t="s">
        <v>764</v>
      </c>
      <c r="H27" s="161" t="s">
        <v>20</v>
      </c>
      <c r="I27" s="213" t="s">
        <v>19</v>
      </c>
    </row>
    <row r="28" spans="1:13" ht="14.5" customHeight="1" x14ac:dyDescent="0.35">
      <c r="A28" s="270"/>
      <c r="B28" s="165"/>
      <c r="C28" s="165"/>
      <c r="D28" s="165"/>
      <c r="E28" s="162"/>
      <c r="F28" s="162"/>
      <c r="G28" s="162"/>
      <c r="H28" s="162"/>
      <c r="I28" s="214"/>
    </row>
    <row r="29" spans="1:13" ht="15" thickBot="1" x14ac:dyDescent="0.4">
      <c r="A29" s="271"/>
      <c r="B29" s="166"/>
      <c r="C29" s="166"/>
      <c r="D29" s="166"/>
      <c r="E29" s="163"/>
      <c r="F29" s="163"/>
      <c r="G29" s="163"/>
      <c r="H29" s="163"/>
      <c r="I29" s="215"/>
    </row>
    <row r="30" spans="1:13" ht="17.5" customHeight="1" thickBot="1" x14ac:dyDescent="0.4">
      <c r="A30" s="173" t="s">
        <v>9</v>
      </c>
      <c r="B30" s="174"/>
      <c r="C30" s="175"/>
      <c r="D30" s="173" t="s">
        <v>8</v>
      </c>
      <c r="E30" s="174"/>
      <c r="F30" s="175"/>
      <c r="G30" s="173" t="s">
        <v>791</v>
      </c>
      <c r="H30" s="175"/>
      <c r="I30" s="127" t="s">
        <v>729</v>
      </c>
      <c r="L30" s="126"/>
      <c r="M30" s="126"/>
    </row>
    <row r="31" spans="1:13" ht="14.5" customHeight="1" x14ac:dyDescent="0.35">
      <c r="A31" s="241"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31" s="242"/>
      <c r="C31" s="243"/>
      <c r="D31" s="241"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31" s="242"/>
      <c r="F31" s="243"/>
      <c r="G31" s="241"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31" s="243"/>
      <c r="I31" s="250"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2" spans="1:13" ht="31" hidden="1" customHeight="1" x14ac:dyDescent="0.35">
      <c r="A32" s="244"/>
      <c r="B32" s="245"/>
      <c r="C32" s="246"/>
      <c r="D32" s="244"/>
      <c r="E32" s="245"/>
      <c r="F32" s="246"/>
      <c r="G32" s="244"/>
      <c r="H32" s="246"/>
      <c r="I32" s="251"/>
    </row>
    <row r="33" spans="1:9" ht="31" hidden="1" customHeight="1" x14ac:dyDescent="0.35">
      <c r="A33" s="244"/>
      <c r="B33" s="245"/>
      <c r="C33" s="246"/>
      <c r="D33" s="244"/>
      <c r="E33" s="245"/>
      <c r="F33" s="246"/>
      <c r="G33" s="244"/>
      <c r="H33" s="246"/>
      <c r="I33" s="251"/>
    </row>
    <row r="34" spans="1:9" ht="31" hidden="1" customHeight="1" x14ac:dyDescent="0.35">
      <c r="A34" s="244"/>
      <c r="B34" s="245"/>
      <c r="C34" s="246"/>
      <c r="D34" s="244"/>
      <c r="E34" s="245"/>
      <c r="F34" s="246"/>
      <c r="G34" s="244"/>
      <c r="H34" s="246"/>
      <c r="I34" s="251"/>
    </row>
    <row r="35" spans="1:9" ht="26" hidden="1" customHeight="1" x14ac:dyDescent="0.35">
      <c r="A35" s="244"/>
      <c r="B35" s="245"/>
      <c r="C35" s="246"/>
      <c r="D35" s="244"/>
      <c r="E35" s="245"/>
      <c r="F35" s="246"/>
      <c r="G35" s="244"/>
      <c r="H35" s="246"/>
      <c r="I35" s="251"/>
    </row>
    <row r="36" spans="1:9" x14ac:dyDescent="0.35">
      <c r="A36" s="244"/>
      <c r="B36" s="245"/>
      <c r="C36" s="246"/>
      <c r="D36" s="244"/>
      <c r="E36" s="245"/>
      <c r="F36" s="246"/>
      <c r="G36" s="244"/>
      <c r="H36" s="246"/>
      <c r="I36" s="251"/>
    </row>
    <row r="37" spans="1:9" x14ac:dyDescent="0.35">
      <c r="A37" s="244"/>
      <c r="B37" s="245"/>
      <c r="C37" s="246"/>
      <c r="D37" s="244"/>
      <c r="E37" s="245"/>
      <c r="F37" s="246"/>
      <c r="G37" s="244"/>
      <c r="H37" s="246"/>
      <c r="I37" s="251"/>
    </row>
    <row r="38" spans="1:9" x14ac:dyDescent="0.35">
      <c r="A38" s="244"/>
      <c r="B38" s="245"/>
      <c r="C38" s="246"/>
      <c r="D38" s="244"/>
      <c r="E38" s="245"/>
      <c r="F38" s="246"/>
      <c r="G38" s="244"/>
      <c r="H38" s="246"/>
      <c r="I38" s="251"/>
    </row>
    <row r="39" spans="1:9" x14ac:dyDescent="0.35">
      <c r="A39" s="244"/>
      <c r="B39" s="245"/>
      <c r="C39" s="246"/>
      <c r="D39" s="244"/>
      <c r="E39" s="245"/>
      <c r="F39" s="246"/>
      <c r="G39" s="244"/>
      <c r="H39" s="246"/>
      <c r="I39" s="251"/>
    </row>
    <row r="40" spans="1:9" x14ac:dyDescent="0.35">
      <c r="A40" s="244"/>
      <c r="B40" s="245"/>
      <c r="C40" s="246"/>
      <c r="D40" s="244"/>
      <c r="E40" s="245"/>
      <c r="F40" s="246"/>
      <c r="G40" s="244"/>
      <c r="H40" s="246"/>
      <c r="I40" s="251"/>
    </row>
    <row r="41" spans="1:9" x14ac:dyDescent="0.35">
      <c r="A41" s="244"/>
      <c r="B41" s="245"/>
      <c r="C41" s="246"/>
      <c r="D41" s="244"/>
      <c r="E41" s="245"/>
      <c r="F41" s="246"/>
      <c r="G41" s="244"/>
      <c r="H41" s="246"/>
      <c r="I41" s="251"/>
    </row>
    <row r="42" spans="1:9" ht="15" thickBot="1" x14ac:dyDescent="0.4">
      <c r="A42" s="247"/>
      <c r="B42" s="248"/>
      <c r="C42" s="249"/>
      <c r="D42" s="247"/>
      <c r="E42" s="248"/>
      <c r="F42" s="249"/>
      <c r="G42" s="247"/>
      <c r="H42" s="249"/>
      <c r="I42" s="252"/>
    </row>
  </sheetData>
  <mergeCells count="31">
    <mergeCell ref="D1:I1"/>
    <mergeCell ref="A1:C5"/>
    <mergeCell ref="A20:C20"/>
    <mergeCell ref="G30:H30"/>
    <mergeCell ref="I27:I29"/>
    <mergeCell ref="A17:C17"/>
    <mergeCell ref="A12:I12"/>
    <mergeCell ref="A13:C13"/>
    <mergeCell ref="A6:D6"/>
    <mergeCell ref="A7:D10"/>
    <mergeCell ref="A11:D11"/>
    <mergeCell ref="D2:F2"/>
    <mergeCell ref="D3:F3"/>
    <mergeCell ref="E27:F29"/>
    <mergeCell ref="A27:A29"/>
    <mergeCell ref="B27:D29"/>
    <mergeCell ref="G27:G29"/>
    <mergeCell ref="H27:H29"/>
    <mergeCell ref="E6:I11"/>
    <mergeCell ref="A31:C42"/>
    <mergeCell ref="D31:F42"/>
    <mergeCell ref="G31:H42"/>
    <mergeCell ref="I31:I42"/>
    <mergeCell ref="D30:F30"/>
    <mergeCell ref="A30:C30"/>
    <mergeCell ref="D4:F4"/>
    <mergeCell ref="D5:F5"/>
    <mergeCell ref="H2:I2"/>
    <mergeCell ref="H3:I3"/>
    <mergeCell ref="H4:I4"/>
    <mergeCell ref="H5:I5"/>
  </mergeCells>
  <conditionalFormatting sqref="A11">
    <cfRule type="expression" dxfId="35" priority="6">
      <formula>A7&lt;59%</formula>
    </cfRule>
    <cfRule type="expression" dxfId="34" priority="7">
      <formula>AND(A7&gt;=59%,A7&lt;75%)</formula>
    </cfRule>
    <cfRule type="expression" dxfId="33" priority="8">
      <formula>AND(A7+$E$625&gt;=75%,A7&lt;90%)</formula>
    </cfRule>
    <cfRule type="expression" dxfId="32" priority="9">
      <formula>A7&gt;=90%</formula>
    </cfRule>
  </conditionalFormatting>
  <conditionalFormatting sqref="A7:D10">
    <cfRule type="expression" dxfId="31" priority="10">
      <formula>A7&gt;=90%</formula>
    </cfRule>
    <cfRule type="expression" dxfId="30" priority="11">
      <formula>AND(A7&gt;=75%,A7&lt;90%)</formula>
    </cfRule>
    <cfRule type="expression" dxfId="29" priority="12">
      <formula>AND(A7&gt;=59%,A7&lt;75%)</formula>
    </cfRule>
    <cfRule type="expression" dxfId="28" priority="13">
      <formula>A7&lt;59%</formula>
    </cfRule>
  </conditionalFormatting>
  <conditionalFormatting sqref="C14:C16 C18:C19 C21:C26">
    <cfRule type="expression" dxfId="27" priority="1">
      <formula>$D14&lt;60%</formula>
    </cfRule>
    <cfRule type="expression" dxfId="26" priority="2">
      <formula>AND($D14&gt;=60%,$D14&lt;75%)</formula>
    </cfRule>
    <cfRule type="expression" dxfId="25" priority="3">
      <formula>AND($D14&gt;=75%,$D14&lt;90%)</formula>
    </cfRule>
    <cfRule type="expression" dxfId="24" priority="4">
      <formula>$D14&gt;=90%</formula>
    </cfRule>
  </conditionalFormatting>
  <pageMargins left="0.11811023622047245" right="0.11811023622047245" top="0.15748031496062992" bottom="0.15748031496062992" header="0.11811023622047245" footer="0.11811023622047245"/>
  <pageSetup scale="9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comercial'!$O$2:$O$94</xm:f>
          </x14:formula1>
          <xm:sqref>H2:I2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3"/>
  <sheetViews>
    <sheetView zoomScaleNormal="100" workbookViewId="0">
      <pane ySplit="5" topLeftCell="A6" activePane="bottomLeft" state="frozen"/>
      <selection pane="bottomLeft" sqref="A1:C5"/>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ht="15" thickBot="1" x14ac:dyDescent="0.4">
      <c r="A1" s="204" t="e" vm="18">
        <v>#VALUE!</v>
      </c>
      <c r="B1" s="205"/>
      <c r="C1" s="205"/>
      <c r="D1" s="254" t="s">
        <v>785</v>
      </c>
      <c r="E1" s="254"/>
      <c r="F1" s="254"/>
      <c r="G1" s="254"/>
      <c r="H1" s="254"/>
      <c r="I1" s="255"/>
    </row>
    <row r="2" spans="1:13" x14ac:dyDescent="0.35">
      <c r="A2" s="206"/>
      <c r="B2" s="207"/>
      <c r="C2" s="207"/>
      <c r="D2" s="232" t="s">
        <v>0</v>
      </c>
      <c r="E2" s="232"/>
      <c r="F2" s="232"/>
      <c r="G2" s="2" t="s">
        <v>6</v>
      </c>
      <c r="H2" s="232" t="s">
        <v>467</v>
      </c>
      <c r="I2" s="233"/>
    </row>
    <row r="3" spans="1:13" x14ac:dyDescent="0.35">
      <c r="A3" s="206"/>
      <c r="B3" s="207"/>
      <c r="C3" s="207"/>
      <c r="D3" s="224" t="s">
        <v>1</v>
      </c>
      <c r="E3" s="224"/>
      <c r="F3" s="224"/>
      <c r="G3" s="3" t="s">
        <v>5</v>
      </c>
      <c r="H3" s="224" t="e">
        <f>VLOOKUP(H2,'Tabla dinam gestion comercial'!O:Q,3,0)</f>
        <v>#N/A</v>
      </c>
      <c r="I3" s="225"/>
    </row>
    <row r="4" spans="1:13" x14ac:dyDescent="0.35">
      <c r="A4" s="206"/>
      <c r="B4" s="207"/>
      <c r="C4" s="207"/>
      <c r="D4" s="224" t="s">
        <v>2</v>
      </c>
      <c r="E4" s="224"/>
      <c r="F4" s="224"/>
      <c r="G4" s="3" t="s">
        <v>4</v>
      </c>
      <c r="H4" s="224" t="e">
        <f>VLOOKUP(H2,'Tabla dinam gestion comercial'!O:P,2,0)</f>
        <v>#N/A</v>
      </c>
      <c r="I4" s="225"/>
      <c r="J4" s="72"/>
      <c r="K4" s="72"/>
      <c r="L4" s="72"/>
      <c r="M4" s="72"/>
    </row>
    <row r="5" spans="1:13" ht="15" thickBot="1" x14ac:dyDescent="0.4">
      <c r="A5" s="208"/>
      <c r="B5" s="209"/>
      <c r="C5" s="209"/>
      <c r="D5" s="231" t="s">
        <v>3</v>
      </c>
      <c r="E5" s="231"/>
      <c r="F5" s="231"/>
      <c r="G5" s="4" t="s">
        <v>49</v>
      </c>
      <c r="H5" s="234" t="e">
        <f>VLOOKUP(H2,'Tabla dinam gestion comercial'!O:R,4,0)</f>
        <v>#N/A</v>
      </c>
      <c r="I5" s="235"/>
      <c r="J5" s="72"/>
      <c r="L5" s="72"/>
      <c r="M5" s="72"/>
    </row>
    <row r="6" spans="1:13" ht="14.5" customHeight="1" thickBot="1" x14ac:dyDescent="0.4">
      <c r="A6" s="181" t="s">
        <v>18</v>
      </c>
      <c r="B6" s="182"/>
      <c r="C6" s="182"/>
      <c r="D6" s="183"/>
      <c r="E6" s="184"/>
      <c r="F6" s="185"/>
      <c r="G6" s="185"/>
      <c r="H6" s="185"/>
      <c r="I6" s="236"/>
      <c r="J6" s="72"/>
      <c r="K6" s="72"/>
      <c r="L6" s="72"/>
      <c r="M6" s="72"/>
    </row>
    <row r="7" spans="1:13" ht="14.5" customHeight="1" x14ac:dyDescent="0.35">
      <c r="A7" s="260" t="e">
        <f>SUMPRODUCT($D$14:$D$24, $F$14:$F$24)</f>
        <v>#DIV/0!</v>
      </c>
      <c r="B7" s="261"/>
      <c r="C7" s="261"/>
      <c r="D7" s="262"/>
      <c r="E7" s="237"/>
      <c r="F7" s="186"/>
      <c r="G7" s="186"/>
      <c r="H7" s="186"/>
      <c r="I7" s="238"/>
      <c r="J7" s="72"/>
      <c r="K7" s="72"/>
      <c r="L7" s="72"/>
      <c r="M7" s="72"/>
    </row>
    <row r="8" spans="1:13" ht="20" customHeight="1" x14ac:dyDescent="0.35">
      <c r="A8" s="263"/>
      <c r="B8" s="264"/>
      <c r="C8" s="264"/>
      <c r="D8" s="265"/>
      <c r="E8" s="237"/>
      <c r="F8" s="186"/>
      <c r="G8" s="186"/>
      <c r="H8" s="186"/>
      <c r="I8" s="238"/>
      <c r="J8" s="66" t="s">
        <v>60</v>
      </c>
      <c r="K8" s="121" t="e">
        <f>A7*100</f>
        <v>#DIV/0!</v>
      </c>
      <c r="L8" s="67" t="e">
        <f>ROUND(K8,0)&amp;"%"</f>
        <v>#DIV/0!</v>
      </c>
      <c r="M8" s="72"/>
    </row>
    <row r="9" spans="1:13" ht="20" customHeight="1" x14ac:dyDescent="0.35">
      <c r="A9" s="263"/>
      <c r="B9" s="264"/>
      <c r="C9" s="264"/>
      <c r="D9" s="265"/>
      <c r="E9" s="237"/>
      <c r="F9" s="186"/>
      <c r="G9" s="186"/>
      <c r="H9" s="186"/>
      <c r="I9" s="238"/>
      <c r="J9" s="66" t="s">
        <v>61</v>
      </c>
      <c r="K9" s="121" t="e">
        <f>100-K8</f>
        <v>#DIV/0!</v>
      </c>
      <c r="L9" s="66"/>
      <c r="M9" s="72"/>
    </row>
    <row r="10" spans="1:13" ht="20" customHeight="1" thickBot="1" x14ac:dyDescent="0.4">
      <c r="A10" s="302"/>
      <c r="B10" s="303"/>
      <c r="C10" s="303"/>
      <c r="D10" s="304"/>
      <c r="E10" s="237"/>
      <c r="F10" s="186"/>
      <c r="G10" s="186"/>
      <c r="H10" s="186"/>
      <c r="I10" s="238"/>
      <c r="J10" s="66" t="s">
        <v>62</v>
      </c>
      <c r="K10" s="121">
        <v>100</v>
      </c>
      <c r="L10" s="66"/>
      <c r="M10" s="72"/>
    </row>
    <row r="11" spans="1:13" ht="20" customHeight="1" thickBot="1" x14ac:dyDescent="0.4">
      <c r="A11" s="305" t="e">
        <f>IF(A7&gt;=90%,"Excelente",IF(A7&gt;=75%,"Destacado",IF(A7&gt;=59%,"En desarrollo","Crítico")))</f>
        <v>#DIV/0!</v>
      </c>
      <c r="B11" s="306"/>
      <c r="C11" s="306"/>
      <c r="D11" s="307"/>
      <c r="E11" s="239"/>
      <c r="F11" s="187"/>
      <c r="G11" s="187"/>
      <c r="H11" s="187"/>
      <c r="I11" s="240"/>
      <c r="J11" s="72"/>
      <c r="K11" s="72"/>
      <c r="L11" s="72"/>
      <c r="M11" s="72"/>
    </row>
    <row r="12" spans="1:13" ht="20" customHeight="1" thickBot="1" x14ac:dyDescent="0.5">
      <c r="A12" s="284" t="s">
        <v>16</v>
      </c>
      <c r="B12" s="285"/>
      <c r="C12" s="285"/>
      <c r="D12" s="285"/>
      <c r="E12" s="285"/>
      <c r="F12" s="285"/>
      <c r="G12" s="285"/>
      <c r="H12" s="285"/>
      <c r="I12" s="286"/>
      <c r="J12" s="72"/>
      <c r="K12" s="72"/>
      <c r="L12" s="72"/>
      <c r="M12" s="72"/>
    </row>
    <row r="13" spans="1:13" ht="51.5" customHeight="1" thickBot="1" x14ac:dyDescent="0.4">
      <c r="A13" s="287" t="s">
        <v>10</v>
      </c>
      <c r="B13" s="288"/>
      <c r="C13" s="289"/>
      <c r="D13" s="59" t="s">
        <v>15</v>
      </c>
      <c r="E13" s="59" t="s">
        <v>14</v>
      </c>
      <c r="F13" s="59" t="s">
        <v>88</v>
      </c>
      <c r="G13" s="59" t="s">
        <v>783</v>
      </c>
      <c r="H13" s="59" t="s">
        <v>731</v>
      </c>
      <c r="I13" s="59" t="s">
        <v>718</v>
      </c>
      <c r="J13" s="72"/>
      <c r="K13" s="72"/>
      <c r="L13" s="72"/>
      <c r="M13" s="72"/>
    </row>
    <row r="14" spans="1:13" ht="110" customHeight="1" thickBot="1" x14ac:dyDescent="0.4">
      <c r="A14" s="58" t="e" vm="12">
        <v>#VALUE!</v>
      </c>
      <c r="B14" s="74" t="s">
        <v>51</v>
      </c>
      <c r="C14" s="57" t="str">
        <f>IF(D14&gt;=90%,"⬤",IF(D14&gt;=75%,"⬤",IF(D14&gt;=60%,"⬤","⬤")))</f>
        <v>⬤</v>
      </c>
      <c r="D14" s="75">
        <f>IFERROR(MIN(100%,G14/H14),0)</f>
        <v>0</v>
      </c>
      <c r="E14" s="76">
        <v>0.9</v>
      </c>
      <c r="F14" s="76">
        <v>0.1</v>
      </c>
      <c r="G14" s="77">
        <f>IFERROR(SUMIFS('Tabla dinam gestion comercial'!$F:$F,'Tabla dinam gestion comercial'!$B:$B,$H$2)/3,0)</f>
        <v>0</v>
      </c>
      <c r="H14" s="83">
        <f>MIN(2000,SUMIFS('Tabla dinam gestion comercial'!$M:$M,'Tabla dinam gestion comercial'!$B:$B,$H$2)/3)</f>
        <v>0</v>
      </c>
      <c r="I14" s="64" t="s">
        <v>719</v>
      </c>
    </row>
    <row r="15" spans="1:13" ht="110" customHeight="1" thickBot="1" x14ac:dyDescent="0.4">
      <c r="A15" s="58" t="e" vm="13">
        <v>#VALUE!</v>
      </c>
      <c r="B15" s="74" t="s">
        <v>29</v>
      </c>
      <c r="C15" s="57" t="str">
        <f t="shared" ref="C15:C24" si="0">IF(D15&gt;=90%,"⬤",IF(D15&gt;=75%,"⬤",IF(D15&gt;=60%,"⬤","⬤")))</f>
        <v>⬤</v>
      </c>
      <c r="D15" s="75">
        <f>IFERROR(MIN(100%,G15/H15),0)</f>
        <v>0</v>
      </c>
      <c r="E15" s="76">
        <v>0.9</v>
      </c>
      <c r="F15" s="76">
        <v>0.1</v>
      </c>
      <c r="G15" s="77">
        <f>IFERROR(SUMIFS('Tabla dinam gestion comercial'!$D:$D,'Tabla dinam gestion comercial'!$B:$B,$H$2)/3,0)</f>
        <v>0</v>
      </c>
      <c r="H15" s="83">
        <f>IFERROR(SUMIFS('Tabla dinam gestion comercial'!$C$2:$C$62,'Tabla dinam gestion comercial'!$B$2:$B$62,$H$2)/3,0)/3</f>
        <v>0</v>
      </c>
      <c r="I15" s="64" t="s">
        <v>720</v>
      </c>
    </row>
    <row r="16" spans="1:13" ht="110" customHeight="1" thickBot="1" x14ac:dyDescent="0.4">
      <c r="A16" s="58" t="e" vm="14">
        <v>#VALUE!</v>
      </c>
      <c r="B16" s="74" t="s">
        <v>11</v>
      </c>
      <c r="C16" s="57" t="e">
        <f t="shared" si="0"/>
        <v>#DIV/0!</v>
      </c>
      <c r="D16" s="75" t="e">
        <f>G16/H16</f>
        <v>#DIV/0!</v>
      </c>
      <c r="E16" s="76">
        <v>0.9</v>
      </c>
      <c r="F16" s="76">
        <v>0.1</v>
      </c>
      <c r="G16" s="77">
        <f>SUMIFS('Tabla dinam gestion comercial'!$I:$I,'Tabla dinam gestion comercial'!$B:$B,$H$2)/3</f>
        <v>0</v>
      </c>
      <c r="H16" s="83">
        <f>ROUNDUP(SUMIFS('Tabla dinam gestion comercial'!$H:$H,'Tabla dinam gestion comercial'!$B:$B,$H$2)/12,0)</f>
        <v>0</v>
      </c>
      <c r="I16" s="64" t="s">
        <v>721</v>
      </c>
    </row>
    <row r="17" spans="1:11" ht="45.5" customHeight="1" thickBot="1" x14ac:dyDescent="0.4">
      <c r="A17" s="311" t="s">
        <v>10</v>
      </c>
      <c r="B17" s="312"/>
      <c r="C17" s="313"/>
      <c r="D17" s="86" t="s">
        <v>15</v>
      </c>
      <c r="E17" s="86" t="s">
        <v>14</v>
      </c>
      <c r="F17" s="86" t="s">
        <v>88</v>
      </c>
      <c r="G17" s="86" t="s">
        <v>86</v>
      </c>
      <c r="H17" s="59" t="s">
        <v>716</v>
      </c>
      <c r="I17" s="59" t="s">
        <v>718</v>
      </c>
      <c r="J17" s="84"/>
      <c r="K17" s="84"/>
    </row>
    <row r="18" spans="1:11" ht="110" customHeight="1" thickBot="1" x14ac:dyDescent="0.4">
      <c r="A18" s="58" t="e" vm="15">
        <v>#VALUE!</v>
      </c>
      <c r="B18" s="74" t="s">
        <v>12</v>
      </c>
      <c r="C18" s="57" t="str">
        <f t="shared" si="0"/>
        <v>⬤</v>
      </c>
      <c r="D18" s="75" t="str">
        <f>IFERROR((G18/H18),"0")</f>
        <v>0</v>
      </c>
      <c r="E18" s="76">
        <v>0.9</v>
      </c>
      <c r="F18" s="76">
        <v>0.2</v>
      </c>
      <c r="G18" s="81">
        <f>SUMIFS(Tecnico!$D:$D,Tecnico!$A:$A,$H$4)</f>
        <v>0</v>
      </c>
      <c r="H18" s="82">
        <f>SUMIFS(Tecnico!$C:$C,Tecnico!$A:$A,$H$4)</f>
        <v>0</v>
      </c>
      <c r="I18" s="60" t="s">
        <v>722</v>
      </c>
    </row>
    <row r="19" spans="1:11" ht="110" customHeight="1" thickBot="1" x14ac:dyDescent="0.4">
      <c r="A19" s="58" t="e" vm="16">
        <v>#VALUE!</v>
      </c>
      <c r="B19" s="74" t="s">
        <v>13</v>
      </c>
      <c r="C19" s="57" t="str">
        <f t="shared" si="0"/>
        <v>⬤</v>
      </c>
      <c r="D19" s="76">
        <f>IF(AND(G19=0, H19=0), 100%, IF(G19=0, 0%, G19/H19))</f>
        <v>1</v>
      </c>
      <c r="E19" s="76">
        <v>0.9</v>
      </c>
      <c r="F19" s="76">
        <v>0.1</v>
      </c>
      <c r="G19" s="77">
        <f>SUMIFS(Tecnico!$J:$J,Tecnico!$A:$A,$H$4)</f>
        <v>0</v>
      </c>
      <c r="H19" s="78">
        <f>SUMIFS(Tecnico!$H:$H,Tecnico!$A:$A,$H$4)/3</f>
        <v>0</v>
      </c>
      <c r="I19" s="61" t="s">
        <v>723</v>
      </c>
    </row>
    <row r="20" spans="1:11" ht="110" customHeight="1" thickBot="1" x14ac:dyDescent="0.4">
      <c r="A20" s="58" t="e" vm="17">
        <v>#VALUE!</v>
      </c>
      <c r="B20" s="74" t="s">
        <v>84</v>
      </c>
      <c r="C20" s="57" t="str">
        <f t="shared" si="0"/>
        <v>⬤</v>
      </c>
      <c r="D20" s="76">
        <f>IF(H20=0,0,IFERROR(G20/H20,0))</f>
        <v>0</v>
      </c>
      <c r="E20" s="76">
        <v>0.9</v>
      </c>
      <c r="F20" s="76">
        <v>0.1</v>
      </c>
      <c r="G20" s="77" t="str">
        <f>IFERROR(VLOOKUP(H2,Leads!C:H,2,0),"0")</f>
        <v>0</v>
      </c>
      <c r="H20" s="78">
        <f>MAX(1,IFERROR(SUMIFS(Leads!$D:$D,Leads!$C:$C,$H$2,Leads!$I:$I,"Enero"),0))+MAX(1,IFERROR(SUMIFS(Leads!$D:$D,Leads!$C:$C,$H$2,Leads!$I:$I,"Febrero"),0))+MAX(1,IFERROR(SUMIFS(Leads!$D:$D,Leads!$C:$C,$H$2,Leads!$I:$I,"Marzo"),0))</f>
        <v>3</v>
      </c>
      <c r="I20" s="61" t="s">
        <v>724</v>
      </c>
    </row>
    <row r="21" spans="1:11" ht="110" customHeight="1" thickBot="1" x14ac:dyDescent="0.4">
      <c r="A21" s="58" t="e" vm="17">
        <v>#VALUE!</v>
      </c>
      <c r="B21" s="74" t="s">
        <v>85</v>
      </c>
      <c r="C21" s="57" t="str">
        <f t="shared" si="0"/>
        <v>⬤</v>
      </c>
      <c r="D21" s="80">
        <f>IF(H21=0,0,IFERROR(G21/H21,0))</f>
        <v>0</v>
      </c>
      <c r="E21" s="76">
        <v>0.9</v>
      </c>
      <c r="F21" s="76">
        <v>0.1</v>
      </c>
      <c r="G21" s="77">
        <f>IFERROR(VLOOKUP(H2,Leads!$K:$P,6,0),0)</f>
        <v>0</v>
      </c>
      <c r="H21" s="78">
        <f>MAX(1,IFERROR(SUMIFS(Leads!$D:$D,Leads!$C:$C,$H$2,Leads!$I:$I,"Enero"),0))+MAX(1,IFERROR(SUMIFS(Leads!$D:$D,Leads!$C:$C,$H$2,Leads!$I:$I,"Febrero"),0))+MAX(1,IFERROR(SUMIFS(Leads!$D:$D,Leads!$C:$C,$H$2,Leads!$I:$I,"Marzo"),0))</f>
        <v>3</v>
      </c>
      <c r="I21" s="62" t="s">
        <v>725</v>
      </c>
    </row>
    <row r="22" spans="1:11" ht="110" customHeight="1" thickBot="1" x14ac:dyDescent="0.4">
      <c r="A22" s="58" t="e" vm="9">
        <v>#VALUE!</v>
      </c>
      <c r="B22" s="74" t="s">
        <v>93</v>
      </c>
      <c r="C22" s="57" t="e">
        <f t="shared" si="0"/>
        <v>#N/A</v>
      </c>
      <c r="D22" s="76" t="e">
        <f>MIN(G22/H22,150%)</f>
        <v>#N/A</v>
      </c>
      <c r="E22" s="76">
        <v>0.9</v>
      </c>
      <c r="F22" s="76">
        <v>0.1</v>
      </c>
      <c r="G22" s="77">
        <f>COUNTIFS('Act Campo'!$Q$2:$Q$997,$H$4,'Act Campo'!$AF$2:$AF$997,"Enero")
+COUNTIFS('Act Campo'!$Q$2:$Q$997,$H$4,'Act Campo'!$AF$2:$AF$997,"Febrero")
+COUNTIFS('Act Campo'!$Q$2:$Q$997,$H$4,'Act Campo'!$AF$2:$AF$997,"Marzo")</f>
        <v>0</v>
      </c>
      <c r="H22" s="79" t="e">
        <f>VLOOKUP(H4,'Tabla dinam gestion comercial'!P:U,6,0)</f>
        <v>#N/A</v>
      </c>
      <c r="I22" s="63" t="s">
        <v>730</v>
      </c>
    </row>
    <row r="23" spans="1:11" ht="110" customHeight="1" thickBot="1" x14ac:dyDescent="0.4">
      <c r="A23" s="58" t="e" vm="9">
        <v>#VALUE!</v>
      </c>
      <c r="B23" s="74" t="s">
        <v>89</v>
      </c>
      <c r="C23" s="57" t="e">
        <f t="shared" si="0"/>
        <v>#DIV/0!</v>
      </c>
      <c r="D23" s="75" t="e">
        <f>MIN(G23/H23,150%)</f>
        <v>#DIV/0!</v>
      </c>
      <c r="E23" s="76">
        <v>0.9</v>
      </c>
      <c r="F23" s="76">
        <v>0.05</v>
      </c>
      <c r="G23" s="77">
        <f>SUMIF(Fincas!$B:$B, $H$4, Fincas!$F:$F)</f>
        <v>0</v>
      </c>
      <c r="H23" s="78">
        <f>ROUNDUP(_xlfn.MAXIFS('Tabla dinam gestion comercial'!$V:$V,'Tabla dinam gestion comercial'!$O:$O,$H$2)*3,0)</f>
        <v>0</v>
      </c>
      <c r="I23" s="61" t="s">
        <v>727</v>
      </c>
    </row>
    <row r="24" spans="1:11" ht="110" customHeight="1" thickBot="1" x14ac:dyDescent="0.4">
      <c r="A24" s="58" t="e" vm="9">
        <v>#VALUE!</v>
      </c>
      <c r="B24" s="74" t="s">
        <v>25</v>
      </c>
      <c r="C24" s="57" t="str">
        <f t="shared" si="0"/>
        <v>⬤</v>
      </c>
      <c r="D24" s="75">
        <f>IFERROR(MIN(G24/H24, 1.5), 0)</f>
        <v>0</v>
      </c>
      <c r="E24" s="76">
        <v>0.9</v>
      </c>
      <c r="F24" s="76">
        <v>0.05</v>
      </c>
      <c r="G24" s="77">
        <f>COUNTIFS(Fincas!$B:$B, $H$4, Fincas!$D:$D, "&lt;&gt;")</f>
        <v>0</v>
      </c>
      <c r="H24" s="78">
        <f>ROUNDUP(SUMIFS('Tabla dinam gestion comercial'!$W:$W,'Tabla dinam gestion comercial'!$O:$O,$H$2),0)</f>
        <v>0</v>
      </c>
      <c r="I24" s="61" t="s">
        <v>728</v>
      </c>
    </row>
    <row r="25" spans="1:11" ht="14.5" customHeight="1" x14ac:dyDescent="0.35">
      <c r="A25" s="308" t="e" vm="10">
        <v>#VALUE!</v>
      </c>
      <c r="B25" s="290" t="s">
        <v>59</v>
      </c>
      <c r="C25" s="290"/>
      <c r="D25" s="291"/>
      <c r="E25" s="299" t="s">
        <v>22</v>
      </c>
      <c r="F25" s="164"/>
      <c r="G25" s="164" t="s">
        <v>21</v>
      </c>
      <c r="H25" s="164" t="s">
        <v>20</v>
      </c>
      <c r="I25" s="314" t="s">
        <v>19</v>
      </c>
    </row>
    <row r="26" spans="1:11" ht="14.5" customHeight="1" x14ac:dyDescent="0.35">
      <c r="A26" s="309"/>
      <c r="B26" s="292"/>
      <c r="C26" s="292"/>
      <c r="D26" s="293"/>
      <c r="E26" s="300"/>
      <c r="F26" s="165"/>
      <c r="G26" s="165"/>
      <c r="H26" s="165"/>
      <c r="I26" s="315"/>
    </row>
    <row r="27" spans="1:11" ht="15" customHeight="1" thickBot="1" x14ac:dyDescent="0.4">
      <c r="A27" s="310"/>
      <c r="B27" s="294"/>
      <c r="C27" s="294"/>
      <c r="D27" s="295"/>
      <c r="E27" s="301"/>
      <c r="F27" s="166"/>
      <c r="G27" s="166"/>
      <c r="H27" s="166"/>
      <c r="I27" s="316"/>
    </row>
    <row r="28" spans="1:11" ht="19" customHeight="1" thickBot="1" x14ac:dyDescent="0.4">
      <c r="A28" s="281" t="s">
        <v>9</v>
      </c>
      <c r="B28" s="282"/>
      <c r="C28" s="283"/>
      <c r="D28" s="281" t="s">
        <v>8</v>
      </c>
      <c r="E28" s="282"/>
      <c r="F28" s="283"/>
      <c r="G28" s="281" t="s">
        <v>7</v>
      </c>
      <c r="H28" s="283"/>
      <c r="I28" s="124" t="s">
        <v>729</v>
      </c>
    </row>
    <row r="29" spans="1:11" ht="14.5" customHeight="1" x14ac:dyDescent="0.35">
      <c r="A29" s="272"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29" s="273"/>
      <c r="C29" s="274"/>
      <c r="D29" s="272"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29" s="273"/>
      <c r="F29" s="274"/>
      <c r="G29" s="272"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29" s="274"/>
      <c r="I29" s="296"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0" spans="1:11" x14ac:dyDescent="0.35">
      <c r="A30" s="275"/>
      <c r="B30" s="276"/>
      <c r="C30" s="277"/>
      <c r="D30" s="275"/>
      <c r="E30" s="276"/>
      <c r="F30" s="277"/>
      <c r="G30" s="275"/>
      <c r="H30" s="277"/>
      <c r="I30" s="297"/>
    </row>
    <row r="31" spans="1:11" x14ac:dyDescent="0.35">
      <c r="A31" s="275"/>
      <c r="B31" s="276"/>
      <c r="C31" s="277"/>
      <c r="D31" s="275"/>
      <c r="E31" s="276"/>
      <c r="F31" s="277"/>
      <c r="G31" s="275"/>
      <c r="H31" s="277"/>
      <c r="I31" s="297"/>
    </row>
    <row r="32" spans="1:11" ht="12" customHeight="1" x14ac:dyDescent="0.35">
      <c r="A32" s="275"/>
      <c r="B32" s="276"/>
      <c r="C32" s="277"/>
      <c r="D32" s="275"/>
      <c r="E32" s="276"/>
      <c r="F32" s="277"/>
      <c r="G32" s="275"/>
      <c r="H32" s="277"/>
      <c r="I32" s="297"/>
    </row>
    <row r="33" spans="1:9" ht="68" customHeight="1" thickBot="1" x14ac:dyDescent="0.4">
      <c r="A33" s="278"/>
      <c r="B33" s="279"/>
      <c r="C33" s="280"/>
      <c r="D33" s="278"/>
      <c r="E33" s="279"/>
      <c r="F33" s="280"/>
      <c r="G33" s="278"/>
      <c r="H33" s="280"/>
      <c r="I33" s="298"/>
    </row>
  </sheetData>
  <mergeCells count="30">
    <mergeCell ref="D1:I1"/>
    <mergeCell ref="A1:C5"/>
    <mergeCell ref="A25:A27"/>
    <mergeCell ref="H25:H27"/>
    <mergeCell ref="A6:D6"/>
    <mergeCell ref="A17:C17"/>
    <mergeCell ref="D2:F2"/>
    <mergeCell ref="D3:F3"/>
    <mergeCell ref="D4:F4"/>
    <mergeCell ref="D5:F5"/>
    <mergeCell ref="H2:I2"/>
    <mergeCell ref="H3:I3"/>
    <mergeCell ref="H4:I4"/>
    <mergeCell ref="H5:I5"/>
    <mergeCell ref="I25:I27"/>
    <mergeCell ref="D29:F33"/>
    <mergeCell ref="A28:C28"/>
    <mergeCell ref="A29:C33"/>
    <mergeCell ref="A12:I12"/>
    <mergeCell ref="E6:I11"/>
    <mergeCell ref="A13:C13"/>
    <mergeCell ref="G29:H33"/>
    <mergeCell ref="B25:D27"/>
    <mergeCell ref="G28:H28"/>
    <mergeCell ref="D28:F28"/>
    <mergeCell ref="I29:I33"/>
    <mergeCell ref="G25:G27"/>
    <mergeCell ref="E25:F27"/>
    <mergeCell ref="A7:D10"/>
    <mergeCell ref="A11:D11"/>
  </mergeCells>
  <conditionalFormatting sqref="A11">
    <cfRule type="expression" dxfId="23" priority="7">
      <formula>A7&lt;59%</formula>
    </cfRule>
    <cfRule type="expression" dxfId="22" priority="8">
      <formula>AND(A7&gt;=59%,A7&lt;75%)</formula>
    </cfRule>
    <cfRule type="expression" dxfId="21" priority="9">
      <formula>AND(A7+$E$190&gt;=75%,A7&lt;90%)</formula>
    </cfRule>
    <cfRule type="expression" dxfId="20" priority="10">
      <formula>A7&gt;=90%</formula>
    </cfRule>
  </conditionalFormatting>
  <conditionalFormatting sqref="A7:D10">
    <cfRule type="expression" dxfId="19" priority="11">
      <formula>A7&gt;=90%</formula>
    </cfRule>
    <cfRule type="expression" dxfId="18" priority="12">
      <formula>AND(A7&gt;=75%,A7&lt;90%)</formula>
    </cfRule>
    <cfRule type="expression" dxfId="17" priority="13">
      <formula>AND(A7&gt;=59%,A7&lt;75%)</formula>
    </cfRule>
    <cfRule type="expression" dxfId="16" priority="14">
      <formula>A7&lt;59%</formula>
    </cfRule>
  </conditionalFormatting>
  <conditionalFormatting sqref="C14:C16 C18:C24">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comercial'!#REF!</xm:f>
          </x14:formula1>
          <xm:sqref>H2:I2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57"/>
  <sheetViews>
    <sheetView workbookViewId="0">
      <selection activeCell="B1" sqref="B1"/>
    </sheetView>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39" t="s">
        <v>94</v>
      </c>
      <c r="B1" s="39" t="s">
        <v>95</v>
      </c>
      <c r="C1" s="39" t="s">
        <v>96</v>
      </c>
      <c r="D1" s="39" t="s">
        <v>97</v>
      </c>
      <c r="E1" s="39" t="s">
        <v>27</v>
      </c>
      <c r="F1" s="39" t="s">
        <v>98</v>
      </c>
      <c r="G1" s="39" t="s">
        <v>99</v>
      </c>
      <c r="H1" s="39" t="s">
        <v>100</v>
      </c>
      <c r="I1" s="39" t="s">
        <v>101</v>
      </c>
      <c r="J1" s="39" t="s">
        <v>102</v>
      </c>
      <c r="K1" s="39" t="s">
        <v>103</v>
      </c>
      <c r="L1" s="39" t="s">
        <v>104</v>
      </c>
      <c r="M1" s="39" t="s">
        <v>105</v>
      </c>
      <c r="N1" s="39" t="s">
        <v>106</v>
      </c>
      <c r="O1" s="39" t="s">
        <v>107</v>
      </c>
      <c r="P1" s="39" t="s">
        <v>108</v>
      </c>
      <c r="Q1" s="39" t="s">
        <v>109</v>
      </c>
      <c r="R1" s="39" t="s">
        <v>110</v>
      </c>
      <c r="S1" s="39" t="s">
        <v>111</v>
      </c>
      <c r="T1" s="39" t="s">
        <v>112</v>
      </c>
      <c r="U1" s="39" t="s">
        <v>113</v>
      </c>
      <c r="V1" s="39" t="s">
        <v>114</v>
      </c>
      <c r="W1" s="39" t="s">
        <v>23</v>
      </c>
      <c r="X1" s="39" t="s">
        <v>115</v>
      </c>
      <c r="Y1" s="39" t="s">
        <v>116</v>
      </c>
      <c r="Z1" s="39" t="s">
        <v>117</v>
      </c>
      <c r="AA1" s="39" t="s">
        <v>118</v>
      </c>
      <c r="AB1" s="39" t="s">
        <v>119</v>
      </c>
      <c r="AC1" s="39" t="s">
        <v>120</v>
      </c>
      <c r="AD1" s="39" t="s">
        <v>121</v>
      </c>
      <c r="AE1" s="39" t="s">
        <v>122</v>
      </c>
      <c r="AF1" s="1" t="s">
        <v>705</v>
      </c>
      <c r="AH1" s="27" t="s">
        <v>367</v>
      </c>
    </row>
    <row r="2" spans="1:38" ht="126.5" x14ac:dyDescent="0.35">
      <c r="A2" s="28" t="s">
        <v>386</v>
      </c>
      <c r="B2" s="28" t="s">
        <v>123</v>
      </c>
      <c r="C2" s="28" t="s">
        <v>387</v>
      </c>
      <c r="D2" s="28" t="s">
        <v>388</v>
      </c>
      <c r="E2" s="28" t="s">
        <v>389</v>
      </c>
      <c r="F2" s="28" t="s">
        <v>255</v>
      </c>
      <c r="G2" s="28" t="s">
        <v>390</v>
      </c>
      <c r="H2" s="28"/>
      <c r="I2" s="28" t="s">
        <v>391</v>
      </c>
      <c r="J2" s="28" t="s">
        <v>128</v>
      </c>
      <c r="K2" s="29">
        <v>46053.405312499999</v>
      </c>
      <c r="L2" s="29">
        <v>46053.354166666664</v>
      </c>
      <c r="M2" s="29">
        <v>46053.583333333336</v>
      </c>
      <c r="N2" s="29">
        <v>46053.405428240738</v>
      </c>
      <c r="O2" s="29">
        <v>46053.583460648151</v>
      </c>
      <c r="P2" s="28" t="s">
        <v>392</v>
      </c>
      <c r="Q2" s="28" t="s">
        <v>393</v>
      </c>
      <c r="R2" s="28" t="s">
        <v>125</v>
      </c>
      <c r="S2" s="28" t="s">
        <v>390</v>
      </c>
      <c r="T2" s="28" t="s">
        <v>394</v>
      </c>
      <c r="U2" s="28"/>
      <c r="V2" s="28"/>
      <c r="W2" s="28"/>
      <c r="X2" s="28"/>
      <c r="Y2" s="30">
        <v>0</v>
      </c>
      <c r="Z2" s="28"/>
      <c r="AA2" s="28"/>
      <c r="AB2" s="28" t="s">
        <v>395</v>
      </c>
      <c r="AC2" s="28" t="s">
        <v>128</v>
      </c>
      <c r="AD2" s="28" t="s">
        <v>396</v>
      </c>
      <c r="AE2" s="28"/>
      <c r="AF2" s="51" t="str">
        <f>TEXT(L2,"mmmm")</f>
        <v>enero</v>
      </c>
      <c r="AH2" s="27" t="s">
        <v>109</v>
      </c>
      <c r="AI2" s="27" t="s">
        <v>705</v>
      </c>
      <c r="AJ2" s="27" t="s">
        <v>99</v>
      </c>
      <c r="AK2" s="27" t="s">
        <v>98</v>
      </c>
      <c r="AL2" t="s">
        <v>224</v>
      </c>
    </row>
    <row r="3" spans="1:38" ht="92" x14ac:dyDescent="0.35">
      <c r="A3" s="28" t="s">
        <v>865</v>
      </c>
      <c r="B3" s="28" t="s">
        <v>123</v>
      </c>
      <c r="C3" s="28" t="s">
        <v>866</v>
      </c>
      <c r="D3" s="28" t="s">
        <v>136</v>
      </c>
      <c r="E3" s="28" t="s">
        <v>137</v>
      </c>
      <c r="F3" s="28" t="s">
        <v>867</v>
      </c>
      <c r="G3" s="28" t="s">
        <v>67</v>
      </c>
      <c r="H3" s="28"/>
      <c r="I3" s="28" t="s">
        <v>138</v>
      </c>
      <c r="J3" s="28" t="s">
        <v>128</v>
      </c>
      <c r="K3" s="29">
        <v>46053.602511574078</v>
      </c>
      <c r="L3" s="29">
        <v>46042.333333333336</v>
      </c>
      <c r="M3" s="29">
        <v>46042.708333333336</v>
      </c>
      <c r="N3" s="29">
        <v>46053.602581018517</v>
      </c>
      <c r="O3" s="29">
        <v>46053.602627314816</v>
      </c>
      <c r="P3" s="28"/>
      <c r="Q3" s="28" t="s">
        <v>39</v>
      </c>
      <c r="R3" s="28" t="s">
        <v>125</v>
      </c>
      <c r="S3" s="28" t="s">
        <v>67</v>
      </c>
      <c r="T3" s="28" t="s">
        <v>139</v>
      </c>
      <c r="U3" s="28"/>
      <c r="V3" s="28"/>
      <c r="W3" s="28"/>
      <c r="X3" s="28"/>
      <c r="Y3" s="30">
        <v>0</v>
      </c>
      <c r="Z3" s="28"/>
      <c r="AA3" s="28"/>
      <c r="AB3" s="28" t="s">
        <v>140</v>
      </c>
      <c r="AC3" s="28" t="s">
        <v>128</v>
      </c>
      <c r="AD3" s="28" t="s">
        <v>141</v>
      </c>
      <c r="AE3" s="28"/>
      <c r="AF3" s="51" t="str">
        <f t="shared" ref="AF3:AF66" si="0">TEXT(L3,"mmmm")</f>
        <v>enero</v>
      </c>
      <c r="AH3" t="s">
        <v>33</v>
      </c>
      <c r="AI3" t="s">
        <v>707</v>
      </c>
      <c r="AJ3" t="s">
        <v>249</v>
      </c>
      <c r="AK3" s="32" t="s">
        <v>127</v>
      </c>
      <c r="AL3">
        <v>1</v>
      </c>
    </row>
    <row r="4" spans="1:38" ht="92" x14ac:dyDescent="0.35">
      <c r="A4" s="28" t="s">
        <v>868</v>
      </c>
      <c r="B4" s="28" t="s">
        <v>123</v>
      </c>
      <c r="C4" s="28" t="s">
        <v>869</v>
      </c>
      <c r="D4" s="28" t="s">
        <v>136</v>
      </c>
      <c r="E4" s="28" t="s">
        <v>137</v>
      </c>
      <c r="F4" s="28" t="s">
        <v>867</v>
      </c>
      <c r="G4" s="28" t="s">
        <v>67</v>
      </c>
      <c r="H4" s="28"/>
      <c r="I4" s="28" t="s">
        <v>138</v>
      </c>
      <c r="J4" s="28" t="s">
        <v>128</v>
      </c>
      <c r="K4" s="29">
        <v>46053.603321759256</v>
      </c>
      <c r="L4" s="29">
        <v>46043.333333333336</v>
      </c>
      <c r="M4" s="29">
        <v>46043.708333333336</v>
      </c>
      <c r="N4" s="29">
        <v>46053.603379629632</v>
      </c>
      <c r="O4" s="29">
        <v>46053.603437500002</v>
      </c>
      <c r="P4" s="28"/>
      <c r="Q4" s="28" t="s">
        <v>39</v>
      </c>
      <c r="R4" s="28" t="s">
        <v>125</v>
      </c>
      <c r="S4" s="28" t="s">
        <v>67</v>
      </c>
      <c r="T4" s="28" t="s">
        <v>139</v>
      </c>
      <c r="U4" s="28"/>
      <c r="V4" s="28"/>
      <c r="W4" s="28"/>
      <c r="X4" s="28"/>
      <c r="Y4" s="30">
        <v>0</v>
      </c>
      <c r="Z4" s="28"/>
      <c r="AA4" s="28"/>
      <c r="AB4" s="28" t="s">
        <v>140</v>
      </c>
      <c r="AC4" s="28" t="s">
        <v>128</v>
      </c>
      <c r="AD4" s="28" t="s">
        <v>141</v>
      </c>
      <c r="AE4" s="28"/>
      <c r="AF4" s="51" t="str">
        <f t="shared" si="0"/>
        <v>enero</v>
      </c>
      <c r="AH4" t="s">
        <v>33</v>
      </c>
      <c r="AI4" t="s">
        <v>708</v>
      </c>
      <c r="AJ4" t="s">
        <v>249</v>
      </c>
      <c r="AK4" s="32" t="s">
        <v>127</v>
      </c>
      <c r="AL4">
        <v>14</v>
      </c>
    </row>
    <row r="5" spans="1:38" ht="92" x14ac:dyDescent="0.35">
      <c r="A5" s="28" t="s">
        <v>870</v>
      </c>
      <c r="B5" s="28" t="s">
        <v>123</v>
      </c>
      <c r="C5" s="28" t="s">
        <v>871</v>
      </c>
      <c r="D5" s="28" t="s">
        <v>136</v>
      </c>
      <c r="E5" s="28" t="s">
        <v>137</v>
      </c>
      <c r="F5" s="28" t="s">
        <v>867</v>
      </c>
      <c r="G5" s="28" t="s">
        <v>67</v>
      </c>
      <c r="H5" s="28"/>
      <c r="I5" s="28" t="s">
        <v>138</v>
      </c>
      <c r="J5" s="28" t="s">
        <v>128</v>
      </c>
      <c r="K5" s="29">
        <v>46030.556909722225</v>
      </c>
      <c r="L5" s="29">
        <v>46024.375</v>
      </c>
      <c r="M5" s="29">
        <v>46024.625</v>
      </c>
      <c r="N5" s="29">
        <v>46030.557002314818</v>
      </c>
      <c r="O5" s="29">
        <v>46030.557071759256</v>
      </c>
      <c r="P5" s="28"/>
      <c r="Q5" s="28" t="s">
        <v>39</v>
      </c>
      <c r="R5" s="28" t="s">
        <v>125</v>
      </c>
      <c r="S5" s="28" t="s">
        <v>67</v>
      </c>
      <c r="T5" s="28" t="s">
        <v>139</v>
      </c>
      <c r="U5" s="28"/>
      <c r="V5" s="28"/>
      <c r="W5" s="28"/>
      <c r="X5" s="28"/>
      <c r="Y5" s="30">
        <v>0</v>
      </c>
      <c r="Z5" s="28"/>
      <c r="AA5" s="28"/>
      <c r="AB5" s="28" t="s">
        <v>140</v>
      </c>
      <c r="AC5" s="28" t="s">
        <v>128</v>
      </c>
      <c r="AD5" s="28" t="s">
        <v>141</v>
      </c>
      <c r="AE5" s="28"/>
      <c r="AF5" s="51" t="str">
        <f t="shared" si="0"/>
        <v>enero</v>
      </c>
      <c r="AH5" t="s">
        <v>33</v>
      </c>
      <c r="AI5" t="s">
        <v>708</v>
      </c>
      <c r="AJ5" t="s">
        <v>34</v>
      </c>
      <c r="AK5" s="32" t="s">
        <v>255</v>
      </c>
      <c r="AL5">
        <v>1</v>
      </c>
    </row>
    <row r="6" spans="1:38" ht="103.5" x14ac:dyDescent="0.35">
      <c r="A6" s="28" t="s">
        <v>252</v>
      </c>
      <c r="B6" s="28" t="s">
        <v>123</v>
      </c>
      <c r="C6" s="28" t="s">
        <v>253</v>
      </c>
      <c r="D6" s="28" t="s">
        <v>254</v>
      </c>
      <c r="E6" s="28" t="s">
        <v>142</v>
      </c>
      <c r="F6" s="28" t="s">
        <v>255</v>
      </c>
      <c r="G6" s="28" t="s">
        <v>68</v>
      </c>
      <c r="H6" s="28"/>
      <c r="I6" s="28" t="s">
        <v>256</v>
      </c>
      <c r="J6" s="28" t="s">
        <v>128</v>
      </c>
      <c r="K6" s="29">
        <v>46049.618206018517</v>
      </c>
      <c r="L6" s="29">
        <v>46049.625</v>
      </c>
      <c r="M6" s="29">
        <v>46049.729166666664</v>
      </c>
      <c r="N6" s="29">
        <v>46049.786886574075</v>
      </c>
      <c r="O6" s="29">
        <v>46049.787002314813</v>
      </c>
      <c r="P6" s="28" t="s">
        <v>257</v>
      </c>
      <c r="Q6" s="28" t="s">
        <v>41</v>
      </c>
      <c r="R6" s="28" t="s">
        <v>125</v>
      </c>
      <c r="S6" s="28" t="s">
        <v>68</v>
      </c>
      <c r="T6" s="28" t="s">
        <v>258</v>
      </c>
      <c r="U6" s="28"/>
      <c r="V6" s="28"/>
      <c r="W6" s="28"/>
      <c r="X6" s="28"/>
      <c r="Y6" s="30">
        <v>0</v>
      </c>
      <c r="Z6" s="28"/>
      <c r="AA6" s="28"/>
      <c r="AB6" s="28" t="s">
        <v>259</v>
      </c>
      <c r="AC6" s="28" t="s">
        <v>128</v>
      </c>
      <c r="AD6" s="28" t="s">
        <v>219</v>
      </c>
      <c r="AE6" s="28"/>
      <c r="AF6" s="51" t="str">
        <f t="shared" si="0"/>
        <v>enero</v>
      </c>
      <c r="AH6" t="s">
        <v>36</v>
      </c>
      <c r="AI6" t="s">
        <v>708</v>
      </c>
      <c r="AJ6" t="s">
        <v>32</v>
      </c>
      <c r="AK6" s="32" t="s">
        <v>255</v>
      </c>
      <c r="AL6">
        <v>1</v>
      </c>
    </row>
    <row r="7" spans="1:38" ht="103.5" x14ac:dyDescent="0.35">
      <c r="A7" s="28" t="s">
        <v>260</v>
      </c>
      <c r="B7" s="28" t="s">
        <v>123</v>
      </c>
      <c r="C7" s="28" t="s">
        <v>261</v>
      </c>
      <c r="D7" s="28" t="s">
        <v>254</v>
      </c>
      <c r="E7" s="28" t="s">
        <v>142</v>
      </c>
      <c r="F7" s="28" t="s">
        <v>255</v>
      </c>
      <c r="G7" s="28" t="s">
        <v>68</v>
      </c>
      <c r="H7" s="28"/>
      <c r="I7" s="28" t="s">
        <v>256</v>
      </c>
      <c r="J7" s="28" t="s">
        <v>128</v>
      </c>
      <c r="K7" s="29">
        <v>46059.369976851849</v>
      </c>
      <c r="L7" s="29">
        <v>46056.604166666664</v>
      </c>
      <c r="M7" s="29">
        <v>46056.708333333336</v>
      </c>
      <c r="N7" s="29">
        <v>46059.370034722226</v>
      </c>
      <c r="O7" s="29">
        <v>46059.370081018518</v>
      </c>
      <c r="P7" s="28"/>
      <c r="Q7" s="28" t="s">
        <v>41</v>
      </c>
      <c r="R7" s="28" t="s">
        <v>125</v>
      </c>
      <c r="S7" s="28" t="s">
        <v>68</v>
      </c>
      <c r="T7" s="28" t="s">
        <v>258</v>
      </c>
      <c r="U7" s="28"/>
      <c r="V7" s="28"/>
      <c r="W7" s="28"/>
      <c r="X7" s="28"/>
      <c r="Y7" s="30">
        <v>0</v>
      </c>
      <c r="Z7" s="28"/>
      <c r="AA7" s="28"/>
      <c r="AB7" s="28" t="s">
        <v>259</v>
      </c>
      <c r="AC7" s="28" t="s">
        <v>128</v>
      </c>
      <c r="AD7" s="28" t="s">
        <v>219</v>
      </c>
      <c r="AE7" s="28"/>
      <c r="AF7" s="51" t="str">
        <f t="shared" si="0"/>
        <v>febrero</v>
      </c>
      <c r="AH7" t="s">
        <v>36</v>
      </c>
      <c r="AI7" t="s">
        <v>708</v>
      </c>
      <c r="AJ7" t="s">
        <v>63</v>
      </c>
      <c r="AK7" s="32" t="s">
        <v>255</v>
      </c>
      <c r="AL7">
        <v>1</v>
      </c>
    </row>
    <row r="8" spans="1:38" ht="46" x14ac:dyDescent="0.35">
      <c r="A8" s="28" t="s">
        <v>872</v>
      </c>
      <c r="B8" s="28" t="s">
        <v>123</v>
      </c>
      <c r="C8" s="28" t="s">
        <v>873</v>
      </c>
      <c r="D8" s="28" t="s">
        <v>262</v>
      </c>
      <c r="E8" s="28" t="s">
        <v>125</v>
      </c>
      <c r="F8" s="28" t="s">
        <v>867</v>
      </c>
      <c r="G8" s="28" t="s">
        <v>42</v>
      </c>
      <c r="H8" s="28"/>
      <c r="I8" s="28" t="s">
        <v>124</v>
      </c>
      <c r="J8" s="28"/>
      <c r="K8" s="29">
        <v>46037.451041666667</v>
      </c>
      <c r="L8" s="29">
        <v>46037.291666666664</v>
      </c>
      <c r="M8" s="29">
        <v>46037.708333333336</v>
      </c>
      <c r="N8" s="29">
        <v>46037.451099537036</v>
      </c>
      <c r="O8" s="29">
        <v>46049.492106481484</v>
      </c>
      <c r="P8" s="28"/>
      <c r="Q8" s="28" t="s">
        <v>41</v>
      </c>
      <c r="R8" s="28" t="s">
        <v>125</v>
      </c>
      <c r="S8" s="28" t="s">
        <v>42</v>
      </c>
      <c r="T8" s="28" t="s">
        <v>263</v>
      </c>
      <c r="U8" s="28"/>
      <c r="V8" s="28"/>
      <c r="W8" s="28"/>
      <c r="X8" s="28"/>
      <c r="Y8" s="30">
        <v>0</v>
      </c>
      <c r="Z8" s="28"/>
      <c r="AA8" s="28"/>
      <c r="AB8" s="28" t="s">
        <v>124</v>
      </c>
      <c r="AC8" s="28"/>
      <c r="AD8" s="28"/>
      <c r="AE8" s="28"/>
      <c r="AF8" s="51" t="str">
        <f t="shared" si="0"/>
        <v>enero</v>
      </c>
      <c r="AH8" t="s">
        <v>37</v>
      </c>
      <c r="AI8" t="s">
        <v>706</v>
      </c>
      <c r="AJ8" t="s">
        <v>66</v>
      </c>
      <c r="AK8" s="32" t="s">
        <v>255</v>
      </c>
      <c r="AL8">
        <v>1</v>
      </c>
    </row>
    <row r="9" spans="1:38" ht="103.5" x14ac:dyDescent="0.35">
      <c r="A9" s="28" t="s">
        <v>264</v>
      </c>
      <c r="B9" s="28" t="s">
        <v>123</v>
      </c>
      <c r="C9" s="28" t="s">
        <v>265</v>
      </c>
      <c r="D9" s="28" t="s">
        <v>254</v>
      </c>
      <c r="E9" s="28" t="s">
        <v>142</v>
      </c>
      <c r="F9" s="28" t="s">
        <v>255</v>
      </c>
      <c r="G9" s="28" t="s">
        <v>42</v>
      </c>
      <c r="H9" s="28"/>
      <c r="I9" s="28" t="s">
        <v>256</v>
      </c>
      <c r="J9" s="28" t="s">
        <v>128</v>
      </c>
      <c r="K9" s="29">
        <v>46056.590358796297</v>
      </c>
      <c r="L9" s="29">
        <v>46056.583333333336</v>
      </c>
      <c r="M9" s="29">
        <v>46056.625</v>
      </c>
      <c r="N9" s="29">
        <v>46056.590671296297</v>
      </c>
      <c r="O9" s="29">
        <v>46056.666585648149</v>
      </c>
      <c r="P9" s="28" t="s">
        <v>266</v>
      </c>
      <c r="Q9" s="28" t="s">
        <v>41</v>
      </c>
      <c r="R9" s="28" t="s">
        <v>125</v>
      </c>
      <c r="S9" s="28" t="s">
        <v>42</v>
      </c>
      <c r="T9" s="28" t="s">
        <v>258</v>
      </c>
      <c r="U9" s="28"/>
      <c r="V9" s="28"/>
      <c r="W9" s="28"/>
      <c r="X9" s="28"/>
      <c r="Y9" s="30">
        <v>0</v>
      </c>
      <c r="Z9" s="28"/>
      <c r="AA9" s="28"/>
      <c r="AB9" s="28" t="s">
        <v>259</v>
      </c>
      <c r="AC9" s="28" t="s">
        <v>128</v>
      </c>
      <c r="AD9" s="28" t="s">
        <v>219</v>
      </c>
      <c r="AE9" s="28"/>
      <c r="AF9" s="51" t="str">
        <f t="shared" si="0"/>
        <v>febrero</v>
      </c>
      <c r="AH9" t="s">
        <v>39</v>
      </c>
      <c r="AI9" t="s">
        <v>707</v>
      </c>
      <c r="AJ9" t="s">
        <v>67</v>
      </c>
      <c r="AK9" s="32" t="s">
        <v>255</v>
      </c>
      <c r="AL9">
        <v>2</v>
      </c>
    </row>
    <row r="10" spans="1:38" ht="149.5" x14ac:dyDescent="0.35">
      <c r="A10" s="28" t="s">
        <v>874</v>
      </c>
      <c r="B10" s="28" t="s">
        <v>123</v>
      </c>
      <c r="C10" s="28" t="s">
        <v>875</v>
      </c>
      <c r="D10" s="28" t="s">
        <v>876</v>
      </c>
      <c r="E10" s="28" t="s">
        <v>877</v>
      </c>
      <c r="F10" s="28" t="s">
        <v>867</v>
      </c>
      <c r="G10" s="28" t="s">
        <v>612</v>
      </c>
      <c r="H10" s="28"/>
      <c r="I10" s="28" t="s">
        <v>878</v>
      </c>
      <c r="J10" s="28" t="s">
        <v>582</v>
      </c>
      <c r="K10" s="29">
        <v>46055.23704861111</v>
      </c>
      <c r="L10" s="29">
        <v>46055.416666666664</v>
      </c>
      <c r="M10" s="29">
        <v>46055.541666666664</v>
      </c>
      <c r="N10" s="29">
        <v>46055.429375</v>
      </c>
      <c r="O10" s="29">
        <v>46055.501446759263</v>
      </c>
      <c r="P10" s="28"/>
      <c r="Q10" s="28" t="s">
        <v>376</v>
      </c>
      <c r="R10" s="28" t="s">
        <v>402</v>
      </c>
      <c r="S10" s="28" t="s">
        <v>612</v>
      </c>
      <c r="T10" s="28" t="s">
        <v>879</v>
      </c>
      <c r="U10" s="28"/>
      <c r="V10" s="28"/>
      <c r="W10" s="28"/>
      <c r="X10" s="28"/>
      <c r="Y10" s="30">
        <v>0</v>
      </c>
      <c r="Z10" s="28"/>
      <c r="AA10" s="28"/>
      <c r="AB10" s="28" t="s">
        <v>880</v>
      </c>
      <c r="AC10" s="28" t="s">
        <v>582</v>
      </c>
      <c r="AD10" s="28" t="s">
        <v>582</v>
      </c>
      <c r="AE10" s="28"/>
      <c r="AF10" s="51" t="str">
        <f t="shared" si="0"/>
        <v>febrero</v>
      </c>
      <c r="AH10" t="s">
        <v>39</v>
      </c>
      <c r="AI10" t="s">
        <v>708</v>
      </c>
      <c r="AJ10" t="s">
        <v>40</v>
      </c>
      <c r="AK10" s="32" t="s">
        <v>255</v>
      </c>
      <c r="AL10">
        <v>1</v>
      </c>
    </row>
    <row r="11" spans="1:38" ht="46" x14ac:dyDescent="0.35">
      <c r="A11" s="28" t="s">
        <v>881</v>
      </c>
      <c r="B11" s="28" t="s">
        <v>123</v>
      </c>
      <c r="C11" s="28" t="s">
        <v>882</v>
      </c>
      <c r="D11" s="28" t="s">
        <v>883</v>
      </c>
      <c r="E11" s="28" t="s">
        <v>884</v>
      </c>
      <c r="F11" s="28" t="s">
        <v>867</v>
      </c>
      <c r="G11" s="28" t="s">
        <v>813</v>
      </c>
      <c r="H11" s="28"/>
      <c r="I11" s="28" t="s">
        <v>885</v>
      </c>
      <c r="J11" s="28" t="s">
        <v>448</v>
      </c>
      <c r="K11" s="29">
        <v>46059.776412037034</v>
      </c>
      <c r="L11" s="29">
        <v>46059.791666666664</v>
      </c>
      <c r="M11" s="29">
        <v>46059.8125</v>
      </c>
      <c r="N11" s="29">
        <v>46059.776516203703</v>
      </c>
      <c r="O11" s="29">
        <v>46059.843356481484</v>
      </c>
      <c r="P11" s="28"/>
      <c r="Q11" s="28" t="s">
        <v>799</v>
      </c>
      <c r="R11" s="28" t="s">
        <v>402</v>
      </c>
      <c r="S11" s="28" t="s">
        <v>813</v>
      </c>
      <c r="T11" s="28" t="s">
        <v>886</v>
      </c>
      <c r="U11" s="28"/>
      <c r="V11" s="28"/>
      <c r="W11" s="28"/>
      <c r="X11" s="28"/>
      <c r="Y11" s="30">
        <v>0</v>
      </c>
      <c r="Z11" s="28"/>
      <c r="AA11" s="28"/>
      <c r="AB11" s="28" t="s">
        <v>124</v>
      </c>
      <c r="AC11" s="28" t="s">
        <v>448</v>
      </c>
      <c r="AD11" s="28" t="s">
        <v>887</v>
      </c>
      <c r="AE11" s="28"/>
      <c r="AF11" s="51" t="str">
        <f t="shared" si="0"/>
        <v>febrero</v>
      </c>
      <c r="AH11" t="s">
        <v>41</v>
      </c>
      <c r="AI11" t="s">
        <v>706</v>
      </c>
      <c r="AJ11" t="s">
        <v>68</v>
      </c>
      <c r="AK11" s="32" t="s">
        <v>255</v>
      </c>
      <c r="AL11">
        <v>1</v>
      </c>
    </row>
    <row r="12" spans="1:38" ht="115" x14ac:dyDescent="0.35">
      <c r="A12" s="28" t="s">
        <v>267</v>
      </c>
      <c r="B12" s="28" t="s">
        <v>123</v>
      </c>
      <c r="C12" s="28" t="s">
        <v>268</v>
      </c>
      <c r="D12" s="28" t="s">
        <v>269</v>
      </c>
      <c r="E12" s="28" t="s">
        <v>270</v>
      </c>
      <c r="F12" s="28" t="s">
        <v>255</v>
      </c>
      <c r="G12" s="28" t="s">
        <v>66</v>
      </c>
      <c r="H12" s="28"/>
      <c r="I12" s="28" t="s">
        <v>271</v>
      </c>
      <c r="J12" s="28" t="s">
        <v>128</v>
      </c>
      <c r="K12" s="29">
        <v>46040.407511574071</v>
      </c>
      <c r="L12" s="29">
        <v>46040.375</v>
      </c>
      <c r="M12" s="29">
        <v>46040.583333333336</v>
      </c>
      <c r="N12" s="29">
        <v>46040.407685185186</v>
      </c>
      <c r="O12" s="29">
        <v>46040.583865740744</v>
      </c>
      <c r="P12" s="28"/>
      <c r="Q12" s="28" t="s">
        <v>37</v>
      </c>
      <c r="R12" s="28" t="s">
        <v>125</v>
      </c>
      <c r="S12" s="28" t="s">
        <v>66</v>
      </c>
      <c r="T12" s="28" t="s">
        <v>272</v>
      </c>
      <c r="U12" s="28"/>
      <c r="V12" s="28"/>
      <c r="W12" s="28"/>
      <c r="X12" s="28"/>
      <c r="Y12" s="30">
        <v>0</v>
      </c>
      <c r="Z12" s="28"/>
      <c r="AA12" s="28"/>
      <c r="AB12" s="28" t="s">
        <v>273</v>
      </c>
      <c r="AC12" s="28" t="s">
        <v>128</v>
      </c>
      <c r="AD12" s="28" t="s">
        <v>134</v>
      </c>
      <c r="AE12" s="28"/>
      <c r="AF12" s="51" t="str">
        <f t="shared" si="0"/>
        <v>enero</v>
      </c>
      <c r="AH12" t="s">
        <v>41</v>
      </c>
      <c r="AI12" t="s">
        <v>707</v>
      </c>
      <c r="AJ12" t="s">
        <v>68</v>
      </c>
      <c r="AK12" s="32" t="s">
        <v>255</v>
      </c>
      <c r="AL12">
        <v>1</v>
      </c>
    </row>
    <row r="13" spans="1:38" ht="46" x14ac:dyDescent="0.35">
      <c r="A13" s="28" t="s">
        <v>397</v>
      </c>
      <c r="B13" s="28" t="s">
        <v>123</v>
      </c>
      <c r="C13" s="28" t="s">
        <v>398</v>
      </c>
      <c r="D13" s="28" t="s">
        <v>399</v>
      </c>
      <c r="E13" s="28" t="s">
        <v>126</v>
      </c>
      <c r="F13" s="28" t="s">
        <v>127</v>
      </c>
      <c r="G13" s="28" t="s">
        <v>400</v>
      </c>
      <c r="H13" s="28"/>
      <c r="I13" s="28" t="s">
        <v>401</v>
      </c>
      <c r="J13" s="28" t="s">
        <v>128</v>
      </c>
      <c r="K13" s="29">
        <v>46056.458993055552</v>
      </c>
      <c r="L13" s="29">
        <v>46056.3125</v>
      </c>
      <c r="M13" s="29">
        <v>46056.458333333336</v>
      </c>
      <c r="N13" s="29">
        <v>46056.459178240744</v>
      </c>
      <c r="O13" s="29">
        <v>46056.45921296296</v>
      </c>
      <c r="P13" s="28"/>
      <c r="Q13" s="28" t="s">
        <v>129</v>
      </c>
      <c r="R13" s="28" t="s">
        <v>402</v>
      </c>
      <c r="S13" s="28" t="s">
        <v>400</v>
      </c>
      <c r="T13" s="28" t="s">
        <v>403</v>
      </c>
      <c r="U13" s="28"/>
      <c r="V13" s="28"/>
      <c r="W13" s="28"/>
      <c r="X13" s="28"/>
      <c r="Y13" s="30">
        <v>0</v>
      </c>
      <c r="Z13" s="28"/>
      <c r="AA13" s="28"/>
      <c r="AB13" s="28" t="s">
        <v>124</v>
      </c>
      <c r="AC13" s="28" t="s">
        <v>128</v>
      </c>
      <c r="AD13" s="28" t="s">
        <v>404</v>
      </c>
      <c r="AE13" s="28"/>
      <c r="AF13" s="51" t="str">
        <f t="shared" si="0"/>
        <v>febrero</v>
      </c>
      <c r="AH13" t="s">
        <v>41</v>
      </c>
      <c r="AI13" t="s">
        <v>707</v>
      </c>
      <c r="AJ13" t="s">
        <v>69</v>
      </c>
      <c r="AK13" s="32" t="s">
        <v>255</v>
      </c>
      <c r="AL13">
        <v>1</v>
      </c>
    </row>
    <row r="14" spans="1:38" ht="46" x14ac:dyDescent="0.35">
      <c r="A14" s="28" t="s">
        <v>888</v>
      </c>
      <c r="B14" s="28" t="s">
        <v>123</v>
      </c>
      <c r="C14" s="28" t="s">
        <v>889</v>
      </c>
      <c r="D14" s="28" t="s">
        <v>399</v>
      </c>
      <c r="E14" s="28" t="s">
        <v>126</v>
      </c>
      <c r="F14" s="28" t="s">
        <v>867</v>
      </c>
      <c r="G14" s="28" t="s">
        <v>408</v>
      </c>
      <c r="H14" s="28"/>
      <c r="I14" s="28" t="s">
        <v>401</v>
      </c>
      <c r="J14" s="28" t="s">
        <v>128</v>
      </c>
      <c r="K14" s="29">
        <v>46042.7969212963</v>
      </c>
      <c r="L14" s="29">
        <v>46043.541666666664</v>
      </c>
      <c r="M14" s="29">
        <v>46043.6875</v>
      </c>
      <c r="N14" s="29">
        <v>46043.476550925923</v>
      </c>
      <c r="O14" s="29">
        <v>46044.242905092593</v>
      </c>
      <c r="P14" s="28"/>
      <c r="Q14" s="28" t="s">
        <v>459</v>
      </c>
      <c r="R14" s="28" t="s">
        <v>402</v>
      </c>
      <c r="S14" s="28" t="s">
        <v>408</v>
      </c>
      <c r="T14" s="28" t="s">
        <v>403</v>
      </c>
      <c r="U14" s="28"/>
      <c r="V14" s="28"/>
      <c r="W14" s="28"/>
      <c r="X14" s="28"/>
      <c r="Y14" s="30">
        <v>0</v>
      </c>
      <c r="Z14" s="28"/>
      <c r="AA14" s="28"/>
      <c r="AB14" s="28" t="s">
        <v>124</v>
      </c>
      <c r="AC14" s="28" t="s">
        <v>128</v>
      </c>
      <c r="AD14" s="28" t="s">
        <v>404</v>
      </c>
      <c r="AE14" s="28"/>
      <c r="AF14" s="51" t="str">
        <f t="shared" si="0"/>
        <v>enero</v>
      </c>
      <c r="AH14" t="s">
        <v>41</v>
      </c>
      <c r="AI14" t="s">
        <v>707</v>
      </c>
      <c r="AJ14" t="s">
        <v>42</v>
      </c>
      <c r="AK14" s="32" t="s">
        <v>255</v>
      </c>
      <c r="AL14">
        <v>2</v>
      </c>
    </row>
    <row r="15" spans="1:38" ht="46" x14ac:dyDescent="0.35">
      <c r="A15" s="28" t="s">
        <v>405</v>
      </c>
      <c r="B15" s="28" t="s">
        <v>123</v>
      </c>
      <c r="C15" s="28" t="s">
        <v>406</v>
      </c>
      <c r="D15" s="28" t="s">
        <v>407</v>
      </c>
      <c r="E15" s="28" t="s">
        <v>223</v>
      </c>
      <c r="F15" s="28" t="s">
        <v>255</v>
      </c>
      <c r="G15" s="28" t="s">
        <v>408</v>
      </c>
      <c r="H15" s="28"/>
      <c r="I15" s="28" t="s">
        <v>409</v>
      </c>
      <c r="J15" s="28" t="s">
        <v>410</v>
      </c>
      <c r="K15" s="29">
        <v>46055.395613425928</v>
      </c>
      <c r="L15" s="29">
        <v>46055.333333333336</v>
      </c>
      <c r="M15" s="29">
        <v>46055.895833333336</v>
      </c>
      <c r="N15" s="29">
        <v>46055.395798611113</v>
      </c>
      <c r="O15" s="29">
        <v>46055.835335648146</v>
      </c>
      <c r="P15" s="28"/>
      <c r="Q15" s="28" t="s">
        <v>411</v>
      </c>
      <c r="R15" s="28" t="s">
        <v>402</v>
      </c>
      <c r="S15" s="28" t="s">
        <v>408</v>
      </c>
      <c r="T15" s="28" t="s">
        <v>412</v>
      </c>
      <c r="U15" s="28"/>
      <c r="V15" s="28"/>
      <c r="W15" s="28"/>
      <c r="X15" s="28"/>
      <c r="Y15" s="30">
        <v>0</v>
      </c>
      <c r="Z15" s="28"/>
      <c r="AA15" s="28"/>
      <c r="AB15" s="28" t="s">
        <v>124</v>
      </c>
      <c r="AC15" s="28" t="s">
        <v>410</v>
      </c>
      <c r="AD15" s="28" t="s">
        <v>413</v>
      </c>
      <c r="AE15" s="28"/>
      <c r="AF15" s="51" t="str">
        <f t="shared" si="0"/>
        <v>febrero</v>
      </c>
      <c r="AH15" t="s">
        <v>41</v>
      </c>
      <c r="AI15" t="s">
        <v>708</v>
      </c>
      <c r="AJ15" t="s">
        <v>68</v>
      </c>
      <c r="AK15" s="32" t="s">
        <v>127</v>
      </c>
      <c r="AL15">
        <v>1</v>
      </c>
    </row>
    <row r="16" spans="1:38" ht="46" x14ac:dyDescent="0.35">
      <c r="A16" s="28" t="s">
        <v>414</v>
      </c>
      <c r="B16" s="28" t="s">
        <v>123</v>
      </c>
      <c r="C16" s="28" t="s">
        <v>415</v>
      </c>
      <c r="D16" s="28" t="s">
        <v>407</v>
      </c>
      <c r="E16" s="28" t="s">
        <v>223</v>
      </c>
      <c r="F16" s="28" t="s">
        <v>255</v>
      </c>
      <c r="G16" s="28" t="s">
        <v>408</v>
      </c>
      <c r="H16" s="28"/>
      <c r="I16" s="28" t="s">
        <v>409</v>
      </c>
      <c r="J16" s="28" t="s">
        <v>410</v>
      </c>
      <c r="K16" s="29">
        <v>46056.861261574071</v>
      </c>
      <c r="L16" s="29">
        <v>46056.333333333336</v>
      </c>
      <c r="M16" s="29">
        <v>46056.875</v>
      </c>
      <c r="N16" s="29">
        <v>46056.861504629633</v>
      </c>
      <c r="O16" s="29">
        <v>46056.861921296295</v>
      </c>
      <c r="P16" s="28"/>
      <c r="Q16" s="28" t="s">
        <v>411</v>
      </c>
      <c r="R16" s="28" t="s">
        <v>402</v>
      </c>
      <c r="S16" s="28" t="s">
        <v>408</v>
      </c>
      <c r="T16" s="28" t="s">
        <v>412</v>
      </c>
      <c r="U16" s="28"/>
      <c r="V16" s="28"/>
      <c r="W16" s="28"/>
      <c r="X16" s="28"/>
      <c r="Y16" s="30">
        <v>0</v>
      </c>
      <c r="Z16" s="28"/>
      <c r="AA16" s="28"/>
      <c r="AB16" s="28" t="s">
        <v>124</v>
      </c>
      <c r="AC16" s="28" t="s">
        <v>410</v>
      </c>
      <c r="AD16" s="28" t="s">
        <v>413</v>
      </c>
      <c r="AE16" s="28"/>
      <c r="AF16" s="51" t="str">
        <f t="shared" si="0"/>
        <v>febrero</v>
      </c>
      <c r="AH16" t="s">
        <v>41</v>
      </c>
      <c r="AI16" t="s">
        <v>708</v>
      </c>
      <c r="AJ16" t="s">
        <v>68</v>
      </c>
      <c r="AK16" s="32" t="s">
        <v>255</v>
      </c>
      <c r="AL16">
        <v>3</v>
      </c>
    </row>
    <row r="17" spans="1:38" ht="46" x14ac:dyDescent="0.35">
      <c r="A17" s="28" t="s">
        <v>416</v>
      </c>
      <c r="B17" s="28" t="s">
        <v>123</v>
      </c>
      <c r="C17" s="28" t="s">
        <v>417</v>
      </c>
      <c r="D17" s="28" t="s">
        <v>407</v>
      </c>
      <c r="E17" s="28" t="s">
        <v>223</v>
      </c>
      <c r="F17" s="28" t="s">
        <v>255</v>
      </c>
      <c r="G17" s="28" t="s">
        <v>408</v>
      </c>
      <c r="H17" s="28"/>
      <c r="I17" s="28" t="s">
        <v>409</v>
      </c>
      <c r="J17" s="28" t="s">
        <v>410</v>
      </c>
      <c r="K17" s="29">
        <v>46057.850208333337</v>
      </c>
      <c r="L17" s="29">
        <v>46057.333333333336</v>
      </c>
      <c r="M17" s="29">
        <v>46057.729166666664</v>
      </c>
      <c r="N17" s="29">
        <v>46057.850428240738</v>
      </c>
      <c r="O17" s="29">
        <v>46057.850590277776</v>
      </c>
      <c r="P17" s="28"/>
      <c r="Q17" s="28" t="s">
        <v>411</v>
      </c>
      <c r="R17" s="28" t="s">
        <v>402</v>
      </c>
      <c r="S17" s="28" t="s">
        <v>408</v>
      </c>
      <c r="T17" s="28" t="s">
        <v>412</v>
      </c>
      <c r="U17" s="28"/>
      <c r="V17" s="28"/>
      <c r="W17" s="28"/>
      <c r="X17" s="28"/>
      <c r="Y17" s="30">
        <v>0</v>
      </c>
      <c r="Z17" s="28"/>
      <c r="AA17" s="28"/>
      <c r="AB17" s="28" t="s">
        <v>124</v>
      </c>
      <c r="AC17" s="28" t="s">
        <v>410</v>
      </c>
      <c r="AD17" s="28" t="s">
        <v>413</v>
      </c>
      <c r="AE17" s="28"/>
      <c r="AF17" s="51" t="str">
        <f t="shared" si="0"/>
        <v>febrero</v>
      </c>
      <c r="AH17" t="s">
        <v>41</v>
      </c>
      <c r="AI17" t="s">
        <v>708</v>
      </c>
      <c r="AJ17" t="s">
        <v>42</v>
      </c>
      <c r="AK17" s="32" t="s">
        <v>255</v>
      </c>
      <c r="AL17">
        <v>2</v>
      </c>
    </row>
    <row r="18" spans="1:38" ht="92" x14ac:dyDescent="0.35">
      <c r="A18" s="28" t="s">
        <v>890</v>
      </c>
      <c r="B18" s="28" t="s">
        <v>123</v>
      </c>
      <c r="C18" s="28" t="s">
        <v>891</v>
      </c>
      <c r="D18" s="28" t="s">
        <v>399</v>
      </c>
      <c r="E18" s="28" t="s">
        <v>126</v>
      </c>
      <c r="F18" s="28" t="s">
        <v>867</v>
      </c>
      <c r="G18" s="28" t="s">
        <v>408</v>
      </c>
      <c r="H18" s="28"/>
      <c r="I18" s="28" t="s">
        <v>401</v>
      </c>
      <c r="J18" s="28" t="s">
        <v>128</v>
      </c>
      <c r="K18" s="29">
        <v>46045.275208333333</v>
      </c>
      <c r="L18" s="29">
        <v>46045.291666666664</v>
      </c>
      <c r="M18" s="29">
        <v>46045.75</v>
      </c>
      <c r="N18" s="29">
        <v>46045.275405092594</v>
      </c>
      <c r="O18" s="29">
        <v>46045.723449074074</v>
      </c>
      <c r="P18" s="28"/>
      <c r="Q18" s="28" t="s">
        <v>459</v>
      </c>
      <c r="R18" s="28" t="s">
        <v>402</v>
      </c>
      <c r="S18" s="28" t="s">
        <v>408</v>
      </c>
      <c r="T18" s="28" t="s">
        <v>403</v>
      </c>
      <c r="U18" s="28"/>
      <c r="V18" s="28"/>
      <c r="W18" s="28"/>
      <c r="X18" s="28"/>
      <c r="Y18" s="30">
        <v>0</v>
      </c>
      <c r="Z18" s="28"/>
      <c r="AA18" s="28"/>
      <c r="AB18" s="28" t="s">
        <v>124</v>
      </c>
      <c r="AC18" s="28" t="s">
        <v>128</v>
      </c>
      <c r="AD18" s="28" t="s">
        <v>404</v>
      </c>
      <c r="AE18" s="28"/>
      <c r="AF18" s="51" t="str">
        <f t="shared" si="0"/>
        <v>enero</v>
      </c>
      <c r="AH18" t="s">
        <v>43</v>
      </c>
      <c r="AI18" t="s">
        <v>707</v>
      </c>
      <c r="AJ18" t="s">
        <v>64</v>
      </c>
      <c r="AK18" s="32" t="s">
        <v>127</v>
      </c>
      <c r="AL18">
        <v>1</v>
      </c>
    </row>
    <row r="19" spans="1:38" ht="46" x14ac:dyDescent="0.35">
      <c r="A19" s="28" t="s">
        <v>418</v>
      </c>
      <c r="B19" s="28" t="s">
        <v>123</v>
      </c>
      <c r="C19" s="28" t="s">
        <v>419</v>
      </c>
      <c r="D19" s="28" t="s">
        <v>407</v>
      </c>
      <c r="E19" s="28" t="s">
        <v>223</v>
      </c>
      <c r="F19" s="28" t="s">
        <v>255</v>
      </c>
      <c r="G19" s="28" t="s">
        <v>408</v>
      </c>
      <c r="H19" s="28"/>
      <c r="I19" s="28" t="s">
        <v>409</v>
      </c>
      <c r="J19" s="28" t="s">
        <v>410</v>
      </c>
      <c r="K19" s="29">
        <v>46058.573657407411</v>
      </c>
      <c r="L19" s="29">
        <v>46058.3125</v>
      </c>
      <c r="M19" s="29">
        <v>46058.8125</v>
      </c>
      <c r="N19" s="29">
        <v>46058.573819444442</v>
      </c>
      <c r="O19" s="29">
        <v>46058.952893518515</v>
      </c>
      <c r="P19" s="28"/>
      <c r="Q19" s="28" t="s">
        <v>411</v>
      </c>
      <c r="R19" s="28" t="s">
        <v>402</v>
      </c>
      <c r="S19" s="28" t="s">
        <v>408</v>
      </c>
      <c r="T19" s="28" t="s">
        <v>412</v>
      </c>
      <c r="U19" s="28"/>
      <c r="V19" s="28"/>
      <c r="W19" s="28"/>
      <c r="X19" s="28"/>
      <c r="Y19" s="30">
        <v>0</v>
      </c>
      <c r="Z19" s="28"/>
      <c r="AA19" s="28"/>
      <c r="AB19" s="28" t="s">
        <v>124</v>
      </c>
      <c r="AC19" s="28" t="s">
        <v>410</v>
      </c>
      <c r="AD19" s="28" t="s">
        <v>413</v>
      </c>
      <c r="AE19" s="28"/>
      <c r="AF19" s="51" t="str">
        <f t="shared" si="0"/>
        <v>febrero</v>
      </c>
      <c r="AH19" t="s">
        <v>43</v>
      </c>
      <c r="AI19" t="s">
        <v>708</v>
      </c>
      <c r="AJ19" t="s">
        <v>64</v>
      </c>
      <c r="AK19" s="32" t="s">
        <v>255</v>
      </c>
      <c r="AL19">
        <v>1</v>
      </c>
    </row>
    <row r="20" spans="1:38" ht="69" x14ac:dyDescent="0.35">
      <c r="A20" s="28" t="s">
        <v>420</v>
      </c>
      <c r="B20" s="28" t="s">
        <v>123</v>
      </c>
      <c r="C20" s="28" t="s">
        <v>421</v>
      </c>
      <c r="D20" s="28" t="s">
        <v>422</v>
      </c>
      <c r="E20" s="28" t="s">
        <v>130</v>
      </c>
      <c r="F20" s="28" t="s">
        <v>127</v>
      </c>
      <c r="G20" s="28" t="s">
        <v>423</v>
      </c>
      <c r="H20" s="28"/>
      <c r="I20" s="28" t="s">
        <v>424</v>
      </c>
      <c r="J20" s="28" t="s">
        <v>425</v>
      </c>
      <c r="K20" s="29">
        <v>46055.253935185188</v>
      </c>
      <c r="L20" s="29">
        <v>46055.375</v>
      </c>
      <c r="M20" s="29">
        <v>46055.583333333336</v>
      </c>
      <c r="N20" s="29">
        <v>46055.357986111114</v>
      </c>
      <c r="O20" s="29">
        <v>46055.61681712963</v>
      </c>
      <c r="P20" s="28"/>
      <c r="Q20" s="28" t="s">
        <v>131</v>
      </c>
      <c r="R20" s="28" t="s">
        <v>402</v>
      </c>
      <c r="S20" s="28" t="s">
        <v>423</v>
      </c>
      <c r="T20" s="28" t="s">
        <v>426</v>
      </c>
      <c r="U20" s="28"/>
      <c r="V20" s="28"/>
      <c r="W20" s="28"/>
      <c r="X20" s="28"/>
      <c r="Y20" s="30">
        <v>0</v>
      </c>
      <c r="Z20" s="28"/>
      <c r="AA20" s="28"/>
      <c r="AB20" s="28" t="s">
        <v>124</v>
      </c>
      <c r="AC20" s="28" t="s">
        <v>425</v>
      </c>
      <c r="AD20" s="28" t="s">
        <v>427</v>
      </c>
      <c r="AE20" s="28"/>
      <c r="AF20" s="51" t="str">
        <f t="shared" si="0"/>
        <v>febrero</v>
      </c>
      <c r="AH20" t="s">
        <v>393</v>
      </c>
      <c r="AI20" t="s">
        <v>706</v>
      </c>
      <c r="AJ20" t="s">
        <v>390</v>
      </c>
      <c r="AK20" s="32" t="s">
        <v>255</v>
      </c>
      <c r="AL20">
        <v>1</v>
      </c>
    </row>
    <row r="21" spans="1:38" ht="57.5" x14ac:dyDescent="0.35">
      <c r="A21" s="28" t="s">
        <v>428</v>
      </c>
      <c r="B21" s="28" t="s">
        <v>123</v>
      </c>
      <c r="C21" s="28" t="s">
        <v>429</v>
      </c>
      <c r="D21" s="28" t="s">
        <v>407</v>
      </c>
      <c r="E21" s="28" t="s">
        <v>223</v>
      </c>
      <c r="F21" s="28" t="s">
        <v>255</v>
      </c>
      <c r="G21" s="28" t="s">
        <v>430</v>
      </c>
      <c r="H21" s="28"/>
      <c r="I21" s="28" t="s">
        <v>409</v>
      </c>
      <c r="J21" s="28" t="s">
        <v>410</v>
      </c>
      <c r="K21" s="29">
        <v>46059.345069444447</v>
      </c>
      <c r="L21" s="29">
        <v>46059.354166666664</v>
      </c>
      <c r="M21" s="29">
        <v>46059.729166666664</v>
      </c>
      <c r="N21" s="29">
        <v>46059.823680555557</v>
      </c>
      <c r="O21" s="29">
        <v>46059.823750000003</v>
      </c>
      <c r="P21" s="28"/>
      <c r="Q21" s="28" t="s">
        <v>133</v>
      </c>
      <c r="R21" s="28" t="s">
        <v>402</v>
      </c>
      <c r="S21" s="28" t="s">
        <v>430</v>
      </c>
      <c r="T21" s="28" t="s">
        <v>412</v>
      </c>
      <c r="U21" s="28"/>
      <c r="V21" s="28"/>
      <c r="W21" s="28"/>
      <c r="X21" s="28"/>
      <c r="Y21" s="30">
        <v>0</v>
      </c>
      <c r="Z21" s="28"/>
      <c r="AA21" s="28"/>
      <c r="AB21" s="28" t="s">
        <v>124</v>
      </c>
      <c r="AC21" s="28" t="s">
        <v>410</v>
      </c>
      <c r="AD21" s="28" t="s">
        <v>413</v>
      </c>
      <c r="AE21" s="28"/>
      <c r="AF21" s="51" t="str">
        <f t="shared" si="0"/>
        <v>febrero</v>
      </c>
      <c r="AH21" t="s">
        <v>393</v>
      </c>
      <c r="AI21" t="s">
        <v>707</v>
      </c>
      <c r="AJ21" t="s">
        <v>390</v>
      </c>
      <c r="AK21" s="32" t="s">
        <v>255</v>
      </c>
      <c r="AL21">
        <v>1</v>
      </c>
    </row>
    <row r="22" spans="1:38" ht="69" x14ac:dyDescent="0.35">
      <c r="A22" s="28" t="s">
        <v>431</v>
      </c>
      <c r="B22" s="28" t="s">
        <v>123</v>
      </c>
      <c r="C22" s="28" t="s">
        <v>432</v>
      </c>
      <c r="D22" s="28" t="s">
        <v>407</v>
      </c>
      <c r="E22" s="28" t="s">
        <v>223</v>
      </c>
      <c r="F22" s="28" t="s">
        <v>255</v>
      </c>
      <c r="G22" s="28" t="s">
        <v>430</v>
      </c>
      <c r="H22" s="28"/>
      <c r="I22" s="28" t="s">
        <v>409</v>
      </c>
      <c r="J22" s="28" t="s">
        <v>410</v>
      </c>
      <c r="K22" s="29">
        <v>46059.824988425928</v>
      </c>
      <c r="L22" s="29">
        <v>46058.520833333336</v>
      </c>
      <c r="M22" s="29">
        <v>46058.541666666664</v>
      </c>
      <c r="N22" s="29">
        <v>46059.825266203705</v>
      </c>
      <c r="O22" s="29">
        <v>46059.825335648151</v>
      </c>
      <c r="P22" s="28" t="s">
        <v>433</v>
      </c>
      <c r="Q22" s="28" t="s">
        <v>133</v>
      </c>
      <c r="R22" s="28" t="s">
        <v>402</v>
      </c>
      <c r="S22" s="28" t="s">
        <v>430</v>
      </c>
      <c r="T22" s="28" t="s">
        <v>412</v>
      </c>
      <c r="U22" s="28"/>
      <c r="V22" s="28"/>
      <c r="W22" s="28"/>
      <c r="X22" s="28"/>
      <c r="Y22" s="30">
        <v>0</v>
      </c>
      <c r="Z22" s="28"/>
      <c r="AA22" s="28"/>
      <c r="AB22" s="28" t="s">
        <v>124</v>
      </c>
      <c r="AC22" s="28" t="s">
        <v>410</v>
      </c>
      <c r="AD22" s="28" t="s">
        <v>413</v>
      </c>
      <c r="AE22" s="28"/>
      <c r="AF22" s="51" t="str">
        <f t="shared" si="0"/>
        <v>febrero</v>
      </c>
      <c r="AH22" t="s">
        <v>129</v>
      </c>
      <c r="AI22" t="s">
        <v>707</v>
      </c>
      <c r="AJ22" t="s">
        <v>400</v>
      </c>
      <c r="AK22" s="32" t="s">
        <v>127</v>
      </c>
      <c r="AL22">
        <v>1</v>
      </c>
    </row>
    <row r="23" spans="1:38" ht="46" x14ac:dyDescent="0.35">
      <c r="A23" s="28" t="s">
        <v>892</v>
      </c>
      <c r="B23" s="28" t="s">
        <v>123</v>
      </c>
      <c r="C23" s="28" t="s">
        <v>893</v>
      </c>
      <c r="D23" s="28" t="s">
        <v>407</v>
      </c>
      <c r="E23" s="28" t="s">
        <v>223</v>
      </c>
      <c r="F23" s="28" t="s">
        <v>867</v>
      </c>
      <c r="G23" s="28" t="s">
        <v>798</v>
      </c>
      <c r="H23" s="28"/>
      <c r="I23" s="28" t="s">
        <v>409</v>
      </c>
      <c r="J23" s="28" t="s">
        <v>410</v>
      </c>
      <c r="K23" s="29">
        <v>46038.431076388886</v>
      </c>
      <c r="L23" s="29">
        <v>46038.333333333336</v>
      </c>
      <c r="M23" s="29">
        <v>46038.4375</v>
      </c>
      <c r="N23" s="29">
        <v>46038.431203703702</v>
      </c>
      <c r="O23" s="29">
        <v>46038.439305555556</v>
      </c>
      <c r="P23" s="28"/>
      <c r="Q23" s="28" t="s">
        <v>596</v>
      </c>
      <c r="R23" s="28" t="s">
        <v>402</v>
      </c>
      <c r="S23" s="28" t="s">
        <v>798</v>
      </c>
      <c r="T23" s="28" t="s">
        <v>412</v>
      </c>
      <c r="U23" s="28"/>
      <c r="V23" s="28"/>
      <c r="W23" s="28"/>
      <c r="X23" s="28"/>
      <c r="Y23" s="30">
        <v>0</v>
      </c>
      <c r="Z23" s="28"/>
      <c r="AA23" s="28"/>
      <c r="AB23" s="28" t="s">
        <v>124</v>
      </c>
      <c r="AC23" s="28" t="s">
        <v>410</v>
      </c>
      <c r="AD23" s="28" t="s">
        <v>413</v>
      </c>
      <c r="AE23" s="28"/>
      <c r="AF23" s="51" t="str">
        <f t="shared" si="0"/>
        <v>enero</v>
      </c>
      <c r="AH23" t="s">
        <v>411</v>
      </c>
      <c r="AI23" t="s">
        <v>707</v>
      </c>
      <c r="AJ23" t="s">
        <v>408</v>
      </c>
      <c r="AK23" s="32" t="s">
        <v>255</v>
      </c>
      <c r="AL23">
        <v>4</v>
      </c>
    </row>
    <row r="24" spans="1:38" ht="103.5" x14ac:dyDescent="0.35">
      <c r="A24" s="28" t="s">
        <v>434</v>
      </c>
      <c r="B24" s="28" t="s">
        <v>123</v>
      </c>
      <c r="C24" s="28" t="s">
        <v>435</v>
      </c>
      <c r="D24" s="28" t="s">
        <v>436</v>
      </c>
      <c r="E24" s="28" t="s">
        <v>437</v>
      </c>
      <c r="F24" s="28" t="s">
        <v>255</v>
      </c>
      <c r="G24" s="28" t="s">
        <v>438</v>
      </c>
      <c r="H24" s="28"/>
      <c r="I24" s="28" t="s">
        <v>439</v>
      </c>
      <c r="J24" s="28" t="s">
        <v>128</v>
      </c>
      <c r="K24" s="29">
        <v>46052.380497685182</v>
      </c>
      <c r="L24" s="29">
        <v>46050.541666666664</v>
      </c>
      <c r="M24" s="29">
        <v>46050.5625</v>
      </c>
      <c r="N24" s="29">
        <v>46052.380543981482</v>
      </c>
      <c r="O24" s="29">
        <v>46052.380868055552</v>
      </c>
      <c r="P24" s="28"/>
      <c r="Q24" s="28" t="s">
        <v>145</v>
      </c>
      <c r="R24" s="28" t="s">
        <v>402</v>
      </c>
      <c r="S24" s="28" t="s">
        <v>438</v>
      </c>
      <c r="T24" s="28" t="s">
        <v>440</v>
      </c>
      <c r="U24" s="28"/>
      <c r="V24" s="28"/>
      <c r="W24" s="28"/>
      <c r="X24" s="28"/>
      <c r="Y24" s="30">
        <v>0</v>
      </c>
      <c r="Z24" s="28"/>
      <c r="AA24" s="28"/>
      <c r="AB24" s="28" t="s">
        <v>441</v>
      </c>
      <c r="AC24" s="28" t="s">
        <v>128</v>
      </c>
      <c r="AD24" s="28" t="s">
        <v>442</v>
      </c>
      <c r="AE24" s="28"/>
      <c r="AF24" s="51" t="str">
        <f t="shared" si="0"/>
        <v>enero</v>
      </c>
      <c r="AH24" t="s">
        <v>411</v>
      </c>
      <c r="AI24" t="s">
        <v>708</v>
      </c>
      <c r="AJ24" t="s">
        <v>408</v>
      </c>
      <c r="AK24" s="32" t="s">
        <v>255</v>
      </c>
      <c r="AL24">
        <v>1</v>
      </c>
    </row>
    <row r="25" spans="1:38" ht="103.5" x14ac:dyDescent="0.35">
      <c r="A25" s="28" t="s">
        <v>894</v>
      </c>
      <c r="B25" s="28" t="s">
        <v>123</v>
      </c>
      <c r="C25" s="28" t="s">
        <v>895</v>
      </c>
      <c r="D25" s="28" t="s">
        <v>896</v>
      </c>
      <c r="E25" s="28" t="s">
        <v>377</v>
      </c>
      <c r="F25" s="28" t="s">
        <v>867</v>
      </c>
      <c r="G25" s="28" t="s">
        <v>446</v>
      </c>
      <c r="H25" s="28"/>
      <c r="I25" s="28" t="s">
        <v>897</v>
      </c>
      <c r="J25" s="28" t="s">
        <v>645</v>
      </c>
      <c r="K25" s="29">
        <v>46035.724259259259</v>
      </c>
      <c r="L25" s="29">
        <v>46042</v>
      </c>
      <c r="M25" s="29">
        <v>46042.020833333336</v>
      </c>
      <c r="N25" s="29">
        <v>46042.360023148147</v>
      </c>
      <c r="O25" s="29">
        <v>46043.501493055555</v>
      </c>
      <c r="P25" s="28"/>
      <c r="Q25" s="28" t="s">
        <v>596</v>
      </c>
      <c r="R25" s="28" t="s">
        <v>402</v>
      </c>
      <c r="S25" s="28" t="s">
        <v>446</v>
      </c>
      <c r="T25" s="28" t="s">
        <v>898</v>
      </c>
      <c r="U25" s="28"/>
      <c r="V25" s="28"/>
      <c r="W25" s="28"/>
      <c r="X25" s="28"/>
      <c r="Y25" s="30">
        <v>0</v>
      </c>
      <c r="Z25" s="28"/>
      <c r="AA25" s="28"/>
      <c r="AB25" s="28" t="s">
        <v>899</v>
      </c>
      <c r="AC25" s="28" t="s">
        <v>645</v>
      </c>
      <c r="AD25" s="28" t="s">
        <v>645</v>
      </c>
      <c r="AE25" s="28"/>
      <c r="AF25" s="51" t="str">
        <f t="shared" si="0"/>
        <v>enero</v>
      </c>
      <c r="AH25" t="s">
        <v>131</v>
      </c>
      <c r="AI25" t="s">
        <v>707</v>
      </c>
      <c r="AJ25" t="s">
        <v>423</v>
      </c>
      <c r="AK25" s="32" t="s">
        <v>127</v>
      </c>
      <c r="AL25">
        <v>1</v>
      </c>
    </row>
    <row r="26" spans="1:38" ht="103.5" x14ac:dyDescent="0.35">
      <c r="A26" s="28" t="s">
        <v>900</v>
      </c>
      <c r="B26" s="28" t="s">
        <v>123</v>
      </c>
      <c r="C26" s="28" t="s">
        <v>901</v>
      </c>
      <c r="D26" s="28" t="s">
        <v>896</v>
      </c>
      <c r="E26" s="28" t="s">
        <v>377</v>
      </c>
      <c r="F26" s="28" t="s">
        <v>867</v>
      </c>
      <c r="G26" s="28" t="s">
        <v>446</v>
      </c>
      <c r="H26" s="28"/>
      <c r="I26" s="28" t="s">
        <v>897</v>
      </c>
      <c r="J26" s="28" t="s">
        <v>645</v>
      </c>
      <c r="K26" s="29">
        <v>46035.725763888891</v>
      </c>
      <c r="L26" s="29">
        <v>46043</v>
      </c>
      <c r="M26" s="29">
        <v>46043.020833333336</v>
      </c>
      <c r="N26" s="29">
        <v>46043.498298611114</v>
      </c>
      <c r="O26" s="29">
        <v>46043.503067129626</v>
      </c>
      <c r="P26" s="28"/>
      <c r="Q26" s="28" t="s">
        <v>596</v>
      </c>
      <c r="R26" s="28" t="s">
        <v>402</v>
      </c>
      <c r="S26" s="28" t="s">
        <v>446</v>
      </c>
      <c r="T26" s="28" t="s">
        <v>898</v>
      </c>
      <c r="U26" s="28"/>
      <c r="V26" s="28"/>
      <c r="W26" s="28"/>
      <c r="X26" s="28"/>
      <c r="Y26" s="30">
        <v>0</v>
      </c>
      <c r="Z26" s="28"/>
      <c r="AA26" s="28"/>
      <c r="AB26" s="28" t="s">
        <v>899</v>
      </c>
      <c r="AC26" s="28" t="s">
        <v>645</v>
      </c>
      <c r="AD26" s="28" t="s">
        <v>645</v>
      </c>
      <c r="AE26" s="28"/>
      <c r="AF26" s="51" t="str">
        <f t="shared" si="0"/>
        <v>enero</v>
      </c>
      <c r="AH26" t="s">
        <v>131</v>
      </c>
      <c r="AI26" t="s">
        <v>707</v>
      </c>
      <c r="AJ26" t="s">
        <v>423</v>
      </c>
      <c r="AK26" s="32" t="s">
        <v>255</v>
      </c>
      <c r="AL26">
        <v>3</v>
      </c>
    </row>
    <row r="27" spans="1:38" ht="103.5" x14ac:dyDescent="0.35">
      <c r="A27" s="28" t="s">
        <v>902</v>
      </c>
      <c r="B27" s="28" t="s">
        <v>123</v>
      </c>
      <c r="C27" s="28" t="s">
        <v>901</v>
      </c>
      <c r="D27" s="28" t="s">
        <v>896</v>
      </c>
      <c r="E27" s="28" t="s">
        <v>377</v>
      </c>
      <c r="F27" s="28" t="s">
        <v>867</v>
      </c>
      <c r="G27" s="28" t="s">
        <v>446</v>
      </c>
      <c r="H27" s="28"/>
      <c r="I27" s="28" t="s">
        <v>897</v>
      </c>
      <c r="J27" s="28" t="s">
        <v>645</v>
      </c>
      <c r="K27" s="29">
        <v>46035.726215277777</v>
      </c>
      <c r="L27" s="29">
        <v>46044</v>
      </c>
      <c r="M27" s="29">
        <v>46044.020833333336</v>
      </c>
      <c r="N27" s="29">
        <v>46044.420138888891</v>
      </c>
      <c r="O27" s="29">
        <v>46044.471365740741</v>
      </c>
      <c r="P27" s="28"/>
      <c r="Q27" s="28" t="s">
        <v>801</v>
      </c>
      <c r="R27" s="28" t="s">
        <v>402</v>
      </c>
      <c r="S27" s="28" t="s">
        <v>446</v>
      </c>
      <c r="T27" s="28" t="s">
        <v>898</v>
      </c>
      <c r="U27" s="28"/>
      <c r="V27" s="28"/>
      <c r="W27" s="28"/>
      <c r="X27" s="28"/>
      <c r="Y27" s="30">
        <v>0</v>
      </c>
      <c r="Z27" s="28"/>
      <c r="AA27" s="28"/>
      <c r="AB27" s="28" t="s">
        <v>899</v>
      </c>
      <c r="AC27" s="28" t="s">
        <v>645</v>
      </c>
      <c r="AD27" s="28" t="s">
        <v>645</v>
      </c>
      <c r="AE27" s="28"/>
      <c r="AF27" s="51" t="str">
        <f t="shared" si="0"/>
        <v>enero</v>
      </c>
      <c r="AH27" t="s">
        <v>131</v>
      </c>
      <c r="AI27" t="s">
        <v>708</v>
      </c>
      <c r="AJ27" t="s">
        <v>423</v>
      </c>
      <c r="AK27" s="32" t="s">
        <v>255</v>
      </c>
      <c r="AL27">
        <v>1</v>
      </c>
    </row>
    <row r="28" spans="1:38" ht="103.5" x14ac:dyDescent="0.35">
      <c r="A28" s="28" t="s">
        <v>443</v>
      </c>
      <c r="B28" s="28" t="s">
        <v>123</v>
      </c>
      <c r="C28" s="28" t="s">
        <v>444</v>
      </c>
      <c r="D28" s="28" t="s">
        <v>445</v>
      </c>
      <c r="E28" s="28" t="s">
        <v>132</v>
      </c>
      <c r="F28" s="28" t="s">
        <v>127</v>
      </c>
      <c r="G28" s="28" t="s">
        <v>446</v>
      </c>
      <c r="H28" s="28"/>
      <c r="I28" s="28" t="s">
        <v>447</v>
      </c>
      <c r="J28" s="28" t="s">
        <v>448</v>
      </c>
      <c r="K28" s="29">
        <v>46035.727488425924</v>
      </c>
      <c r="L28" s="29">
        <v>46055</v>
      </c>
      <c r="M28" s="29">
        <v>46055.020833333336</v>
      </c>
      <c r="N28" s="29">
        <v>46055.495613425926</v>
      </c>
      <c r="O28" s="29">
        <v>46055.673055555555</v>
      </c>
      <c r="P28" s="28"/>
      <c r="Q28" s="28" t="s">
        <v>133</v>
      </c>
      <c r="R28" s="28" t="s">
        <v>402</v>
      </c>
      <c r="S28" s="28" t="s">
        <v>446</v>
      </c>
      <c r="T28" s="28" t="s">
        <v>449</v>
      </c>
      <c r="U28" s="28"/>
      <c r="V28" s="28"/>
      <c r="W28" s="28"/>
      <c r="X28" s="28"/>
      <c r="Y28" s="30">
        <v>0</v>
      </c>
      <c r="Z28" s="28"/>
      <c r="AA28" s="28"/>
      <c r="AB28" s="28" t="s">
        <v>450</v>
      </c>
      <c r="AC28" s="28" t="s">
        <v>448</v>
      </c>
      <c r="AD28" s="28" t="s">
        <v>451</v>
      </c>
      <c r="AE28" s="28"/>
      <c r="AF28" s="51" t="str">
        <f t="shared" si="0"/>
        <v>febrero</v>
      </c>
      <c r="AH28" t="s">
        <v>133</v>
      </c>
      <c r="AI28" t="s">
        <v>707</v>
      </c>
      <c r="AJ28" t="s">
        <v>430</v>
      </c>
      <c r="AK28" s="32" t="s">
        <v>255</v>
      </c>
      <c r="AL28">
        <v>2</v>
      </c>
    </row>
    <row r="29" spans="1:38" ht="103.5" x14ac:dyDescent="0.35">
      <c r="A29" s="28" t="s">
        <v>452</v>
      </c>
      <c r="B29" s="28" t="s">
        <v>123</v>
      </c>
      <c r="C29" s="28" t="s">
        <v>444</v>
      </c>
      <c r="D29" s="28" t="s">
        <v>445</v>
      </c>
      <c r="E29" s="28" t="s">
        <v>132</v>
      </c>
      <c r="F29" s="28" t="s">
        <v>127</v>
      </c>
      <c r="G29" s="28" t="s">
        <v>446</v>
      </c>
      <c r="H29" s="28"/>
      <c r="I29" s="28" t="s">
        <v>447</v>
      </c>
      <c r="J29" s="28" t="s">
        <v>448</v>
      </c>
      <c r="K29" s="29">
        <v>46035.765289351853</v>
      </c>
      <c r="L29" s="29">
        <v>46056</v>
      </c>
      <c r="M29" s="29">
        <v>46056.020833333336</v>
      </c>
      <c r="N29" s="29">
        <v>46056.504016203704</v>
      </c>
      <c r="O29" s="29">
        <v>46056.712430555555</v>
      </c>
      <c r="P29" s="28"/>
      <c r="Q29" s="28" t="s">
        <v>133</v>
      </c>
      <c r="R29" s="28" t="s">
        <v>402</v>
      </c>
      <c r="S29" s="28" t="s">
        <v>446</v>
      </c>
      <c r="T29" s="28" t="s">
        <v>449</v>
      </c>
      <c r="U29" s="28"/>
      <c r="V29" s="28"/>
      <c r="W29" s="28"/>
      <c r="X29" s="28"/>
      <c r="Y29" s="30">
        <v>0</v>
      </c>
      <c r="Z29" s="28"/>
      <c r="AA29" s="28"/>
      <c r="AB29" s="28" t="s">
        <v>450</v>
      </c>
      <c r="AC29" s="28" t="s">
        <v>448</v>
      </c>
      <c r="AD29" s="28" t="s">
        <v>451</v>
      </c>
      <c r="AE29" s="28"/>
      <c r="AF29" s="51" t="str">
        <f t="shared" si="0"/>
        <v>febrero</v>
      </c>
      <c r="AH29" t="s">
        <v>133</v>
      </c>
      <c r="AI29" t="s">
        <v>707</v>
      </c>
      <c r="AJ29" t="s">
        <v>446</v>
      </c>
      <c r="AK29" s="32" t="s">
        <v>127</v>
      </c>
      <c r="AL29">
        <v>2</v>
      </c>
    </row>
    <row r="30" spans="1:38" ht="230" x14ac:dyDescent="0.35">
      <c r="A30" s="28" t="s">
        <v>903</v>
      </c>
      <c r="B30" s="28" t="s">
        <v>123</v>
      </c>
      <c r="C30" s="28" t="s">
        <v>334</v>
      </c>
      <c r="D30" s="28" t="s">
        <v>904</v>
      </c>
      <c r="E30" s="28" t="s">
        <v>905</v>
      </c>
      <c r="F30" s="28" t="s">
        <v>867</v>
      </c>
      <c r="G30" s="28" t="s">
        <v>813</v>
      </c>
      <c r="H30" s="28"/>
      <c r="I30" s="28" t="s">
        <v>906</v>
      </c>
      <c r="J30" s="28" t="s">
        <v>448</v>
      </c>
      <c r="K30" s="29">
        <v>46059.401296296295</v>
      </c>
      <c r="L30" s="29">
        <v>46059.416666666664</v>
      </c>
      <c r="M30" s="29">
        <v>46059.4375</v>
      </c>
      <c r="N30" s="29">
        <v>46059.401365740741</v>
      </c>
      <c r="O30" s="29">
        <v>46059.432638888888</v>
      </c>
      <c r="P30" s="28" t="s">
        <v>907</v>
      </c>
      <c r="Q30" s="28" t="s">
        <v>799</v>
      </c>
      <c r="R30" s="28" t="s">
        <v>402</v>
      </c>
      <c r="S30" s="28" t="s">
        <v>813</v>
      </c>
      <c r="T30" s="28" t="s">
        <v>908</v>
      </c>
      <c r="U30" s="28"/>
      <c r="V30" s="28"/>
      <c r="W30" s="28" t="s">
        <v>909</v>
      </c>
      <c r="X30" s="28"/>
      <c r="Y30" s="30">
        <v>0</v>
      </c>
      <c r="Z30" s="28"/>
      <c r="AA30" s="28"/>
      <c r="AB30" s="28" t="s">
        <v>910</v>
      </c>
      <c r="AC30" s="28" t="s">
        <v>448</v>
      </c>
      <c r="AD30" s="28" t="s">
        <v>911</v>
      </c>
      <c r="AE30" s="28"/>
      <c r="AF30" s="51" t="str">
        <f t="shared" si="0"/>
        <v>febrero</v>
      </c>
      <c r="AH30" t="s">
        <v>133</v>
      </c>
      <c r="AI30" t="s">
        <v>707</v>
      </c>
      <c r="AJ30" t="s">
        <v>620</v>
      </c>
      <c r="AK30" s="32" t="s">
        <v>255</v>
      </c>
      <c r="AL30">
        <v>1</v>
      </c>
    </row>
    <row r="31" spans="1:38" ht="103.5" x14ac:dyDescent="0.35">
      <c r="A31" s="28" t="s">
        <v>453</v>
      </c>
      <c r="B31" s="28" t="s">
        <v>123</v>
      </c>
      <c r="C31" s="28" t="s">
        <v>454</v>
      </c>
      <c r="D31" s="28" t="s">
        <v>286</v>
      </c>
      <c r="E31" s="28" t="s">
        <v>287</v>
      </c>
      <c r="F31" s="28" t="s">
        <v>255</v>
      </c>
      <c r="G31" s="28" t="s">
        <v>455</v>
      </c>
      <c r="H31" s="28"/>
      <c r="I31" s="28" t="s">
        <v>288</v>
      </c>
      <c r="J31" s="28" t="s">
        <v>128</v>
      </c>
      <c r="K31" s="29">
        <v>46062.286550925928</v>
      </c>
      <c r="L31" s="29">
        <v>46062.291666666664</v>
      </c>
      <c r="M31" s="29">
        <v>46062.708333333336</v>
      </c>
      <c r="N31" s="29">
        <v>46062.286597222221</v>
      </c>
      <c r="O31" s="29">
        <v>46062.737743055557</v>
      </c>
      <c r="P31" s="28"/>
      <c r="Q31" s="28" t="s">
        <v>456</v>
      </c>
      <c r="R31" s="28" t="s">
        <v>402</v>
      </c>
      <c r="S31" s="28" t="s">
        <v>455</v>
      </c>
      <c r="T31" s="28" t="s">
        <v>289</v>
      </c>
      <c r="U31" s="28"/>
      <c r="V31" s="28"/>
      <c r="W31" s="28"/>
      <c r="X31" s="28"/>
      <c r="Y31" s="30">
        <v>0</v>
      </c>
      <c r="Z31" s="28"/>
      <c r="AA31" s="28"/>
      <c r="AB31" s="28" t="s">
        <v>290</v>
      </c>
      <c r="AC31" s="28" t="s">
        <v>128</v>
      </c>
      <c r="AD31" s="28" t="s">
        <v>291</v>
      </c>
      <c r="AE31" s="28"/>
      <c r="AF31" s="51" t="str">
        <f t="shared" si="0"/>
        <v>febrero</v>
      </c>
      <c r="AH31" t="s">
        <v>133</v>
      </c>
      <c r="AI31" t="s">
        <v>707</v>
      </c>
      <c r="AJ31" t="s">
        <v>623</v>
      </c>
      <c r="AK31" s="32" t="s">
        <v>127</v>
      </c>
      <c r="AL31">
        <v>1</v>
      </c>
    </row>
    <row r="32" spans="1:38" ht="46" x14ac:dyDescent="0.35">
      <c r="A32" s="28" t="s">
        <v>457</v>
      </c>
      <c r="B32" s="28" t="s">
        <v>123</v>
      </c>
      <c r="C32" s="28" t="s">
        <v>458</v>
      </c>
      <c r="D32" s="28" t="s">
        <v>399</v>
      </c>
      <c r="E32" s="28" t="s">
        <v>126</v>
      </c>
      <c r="F32" s="28" t="s">
        <v>255</v>
      </c>
      <c r="G32" s="28" t="s">
        <v>408</v>
      </c>
      <c r="H32" s="28"/>
      <c r="I32" s="28" t="s">
        <v>401</v>
      </c>
      <c r="J32" s="28" t="s">
        <v>128</v>
      </c>
      <c r="K32" s="29">
        <v>46062.336898148147</v>
      </c>
      <c r="L32" s="29">
        <v>46062.354166666664</v>
      </c>
      <c r="M32" s="29">
        <v>46062.75</v>
      </c>
      <c r="N32" s="29">
        <v>46062.337013888886</v>
      </c>
      <c r="O32" s="29">
        <v>46062.749201388891</v>
      </c>
      <c r="P32" s="28"/>
      <c r="Q32" s="28" t="s">
        <v>459</v>
      </c>
      <c r="R32" s="28" t="s">
        <v>402</v>
      </c>
      <c r="S32" s="28" t="s">
        <v>408</v>
      </c>
      <c r="T32" s="28" t="s">
        <v>403</v>
      </c>
      <c r="U32" s="28"/>
      <c r="V32" s="28"/>
      <c r="W32" s="28"/>
      <c r="X32" s="28"/>
      <c r="Y32" s="30">
        <v>0</v>
      </c>
      <c r="Z32" s="28"/>
      <c r="AA32" s="28"/>
      <c r="AB32" s="28" t="s">
        <v>124</v>
      </c>
      <c r="AC32" s="28" t="s">
        <v>128</v>
      </c>
      <c r="AD32" s="28" t="s">
        <v>404</v>
      </c>
      <c r="AE32" s="28"/>
      <c r="AF32" s="51" t="str">
        <f t="shared" si="0"/>
        <v>febrero</v>
      </c>
      <c r="AH32" t="s">
        <v>133</v>
      </c>
      <c r="AI32" t="s">
        <v>707</v>
      </c>
      <c r="AJ32" t="s">
        <v>623</v>
      </c>
      <c r="AK32" s="32" t="s">
        <v>255</v>
      </c>
      <c r="AL32">
        <v>1</v>
      </c>
    </row>
    <row r="33" spans="1:38" ht="103.5" x14ac:dyDescent="0.35">
      <c r="A33" s="28" t="s">
        <v>460</v>
      </c>
      <c r="B33" s="28" t="s">
        <v>123</v>
      </c>
      <c r="C33" s="28" t="s">
        <v>461</v>
      </c>
      <c r="D33" s="28" t="s">
        <v>445</v>
      </c>
      <c r="E33" s="28" t="s">
        <v>132</v>
      </c>
      <c r="F33" s="28" t="s">
        <v>127</v>
      </c>
      <c r="G33" s="28" t="s">
        <v>462</v>
      </c>
      <c r="H33" s="28"/>
      <c r="I33" s="28" t="s">
        <v>447</v>
      </c>
      <c r="J33" s="28" t="s">
        <v>448</v>
      </c>
      <c r="K33" s="29">
        <v>46051.713506944441</v>
      </c>
      <c r="L33" s="29">
        <v>46055</v>
      </c>
      <c r="M33" s="29">
        <v>46057.020833333336</v>
      </c>
      <c r="N33" s="29">
        <v>46056.316284722219</v>
      </c>
      <c r="O33" s="29">
        <v>46062.812222222223</v>
      </c>
      <c r="P33" s="28"/>
      <c r="Q33" s="28" t="s">
        <v>144</v>
      </c>
      <c r="R33" s="28" t="s">
        <v>402</v>
      </c>
      <c r="S33" s="28" t="s">
        <v>462</v>
      </c>
      <c r="T33" s="28" t="s">
        <v>449</v>
      </c>
      <c r="U33" s="28"/>
      <c r="V33" s="28"/>
      <c r="W33" s="28"/>
      <c r="X33" s="28"/>
      <c r="Y33" s="30">
        <v>0</v>
      </c>
      <c r="Z33" s="28"/>
      <c r="AA33" s="28"/>
      <c r="AB33" s="28" t="s">
        <v>450</v>
      </c>
      <c r="AC33" s="28" t="s">
        <v>448</v>
      </c>
      <c r="AD33" s="28" t="s">
        <v>451</v>
      </c>
      <c r="AE33" s="28"/>
      <c r="AF33" s="51" t="str">
        <f t="shared" si="0"/>
        <v>febrero</v>
      </c>
      <c r="AH33" t="s">
        <v>145</v>
      </c>
      <c r="AI33" t="s">
        <v>706</v>
      </c>
      <c r="AJ33" t="s">
        <v>438</v>
      </c>
      <c r="AK33" s="32" t="s">
        <v>255</v>
      </c>
      <c r="AL33">
        <v>1</v>
      </c>
    </row>
    <row r="34" spans="1:38" ht="46" x14ac:dyDescent="0.35">
      <c r="A34" s="28" t="s">
        <v>463</v>
      </c>
      <c r="B34" s="28" t="s">
        <v>123</v>
      </c>
      <c r="C34" s="28" t="s">
        <v>464</v>
      </c>
      <c r="D34" s="28" t="s">
        <v>399</v>
      </c>
      <c r="E34" s="28" t="s">
        <v>126</v>
      </c>
      <c r="F34" s="28" t="s">
        <v>255</v>
      </c>
      <c r="G34" s="28" t="s">
        <v>408</v>
      </c>
      <c r="H34" s="28"/>
      <c r="I34" s="28" t="s">
        <v>401</v>
      </c>
      <c r="J34" s="28" t="s">
        <v>128</v>
      </c>
      <c r="K34" s="29">
        <v>46063.716539351852</v>
      </c>
      <c r="L34" s="29">
        <v>46063.333333333336</v>
      </c>
      <c r="M34" s="29">
        <v>46063.791666666664</v>
      </c>
      <c r="N34" s="29">
        <v>46063.71671296296</v>
      </c>
      <c r="O34" s="29">
        <v>46063.716828703706</v>
      </c>
      <c r="P34" s="28"/>
      <c r="Q34" s="28" t="s">
        <v>459</v>
      </c>
      <c r="R34" s="28" t="s">
        <v>402</v>
      </c>
      <c r="S34" s="28" t="s">
        <v>408</v>
      </c>
      <c r="T34" s="28" t="s">
        <v>403</v>
      </c>
      <c r="U34" s="28"/>
      <c r="V34" s="28"/>
      <c r="W34" s="28"/>
      <c r="X34" s="28"/>
      <c r="Y34" s="30">
        <v>0</v>
      </c>
      <c r="Z34" s="28"/>
      <c r="AA34" s="28"/>
      <c r="AB34" s="28" t="s">
        <v>124</v>
      </c>
      <c r="AC34" s="28" t="s">
        <v>128</v>
      </c>
      <c r="AD34" s="28" t="s">
        <v>404</v>
      </c>
      <c r="AE34" s="28"/>
      <c r="AF34" s="51" t="str">
        <f t="shared" si="0"/>
        <v>febrero</v>
      </c>
      <c r="AH34" t="s">
        <v>145</v>
      </c>
      <c r="AI34" t="s">
        <v>707</v>
      </c>
      <c r="AJ34" t="s">
        <v>467</v>
      </c>
      <c r="AK34" s="32" t="s">
        <v>127</v>
      </c>
      <c r="AL34">
        <v>1</v>
      </c>
    </row>
    <row r="35" spans="1:38" ht="46" x14ac:dyDescent="0.35">
      <c r="A35" s="28" t="s">
        <v>465</v>
      </c>
      <c r="B35" s="28" t="s">
        <v>123</v>
      </c>
      <c r="C35" s="28" t="s">
        <v>466</v>
      </c>
      <c r="D35" s="28" t="s">
        <v>399</v>
      </c>
      <c r="E35" s="28" t="s">
        <v>126</v>
      </c>
      <c r="F35" s="28" t="s">
        <v>127</v>
      </c>
      <c r="G35" s="28" t="s">
        <v>467</v>
      </c>
      <c r="H35" s="28"/>
      <c r="I35" s="28" t="s">
        <v>401</v>
      </c>
      <c r="J35" s="28" t="s">
        <v>128</v>
      </c>
      <c r="K35" s="29">
        <v>46063.974340277775</v>
      </c>
      <c r="L35" s="29">
        <v>46064.375</v>
      </c>
      <c r="M35" s="29">
        <v>46064.666666666664</v>
      </c>
      <c r="N35" s="29">
        <v>46064.396979166668</v>
      </c>
      <c r="O35" s="29">
        <v>46064.725775462961</v>
      </c>
      <c r="P35" s="28"/>
      <c r="Q35" s="28" t="s">
        <v>145</v>
      </c>
      <c r="R35" s="28" t="s">
        <v>402</v>
      </c>
      <c r="S35" s="28" t="s">
        <v>467</v>
      </c>
      <c r="T35" s="28" t="s">
        <v>403</v>
      </c>
      <c r="U35" s="28"/>
      <c r="V35" s="28"/>
      <c r="W35" s="28"/>
      <c r="X35" s="28"/>
      <c r="Y35" s="30">
        <v>0</v>
      </c>
      <c r="Z35" s="28"/>
      <c r="AA35" s="28"/>
      <c r="AB35" s="28" t="s">
        <v>124</v>
      </c>
      <c r="AC35" s="28" t="s">
        <v>128</v>
      </c>
      <c r="AD35" s="28" t="s">
        <v>404</v>
      </c>
      <c r="AE35" s="28"/>
      <c r="AF35" s="51" t="str">
        <f t="shared" si="0"/>
        <v>febrero</v>
      </c>
      <c r="AH35" t="s">
        <v>456</v>
      </c>
      <c r="AI35" t="s">
        <v>707</v>
      </c>
      <c r="AJ35" t="s">
        <v>455</v>
      </c>
      <c r="AK35" s="32" t="s">
        <v>255</v>
      </c>
      <c r="AL35">
        <v>1</v>
      </c>
    </row>
    <row r="36" spans="1:38" ht="46" x14ac:dyDescent="0.35">
      <c r="A36" s="28" t="s">
        <v>468</v>
      </c>
      <c r="B36" s="28" t="s">
        <v>123</v>
      </c>
      <c r="C36" s="28" t="s">
        <v>469</v>
      </c>
      <c r="D36" s="28" t="s">
        <v>399</v>
      </c>
      <c r="E36" s="28" t="s">
        <v>126</v>
      </c>
      <c r="F36" s="28" t="s">
        <v>255</v>
      </c>
      <c r="G36" s="28" t="s">
        <v>408</v>
      </c>
      <c r="H36" s="28"/>
      <c r="I36" s="28" t="s">
        <v>401</v>
      </c>
      <c r="J36" s="28" t="s">
        <v>128</v>
      </c>
      <c r="K36" s="29">
        <v>46064.646527777775</v>
      </c>
      <c r="L36" s="29">
        <v>46064.333333333336</v>
      </c>
      <c r="M36" s="29">
        <v>46064.75</v>
      </c>
      <c r="N36" s="29">
        <v>46064.683564814812</v>
      </c>
      <c r="O36" s="29">
        <v>46065.299143518518</v>
      </c>
      <c r="P36" s="28"/>
      <c r="Q36" s="28" t="s">
        <v>459</v>
      </c>
      <c r="R36" s="28" t="s">
        <v>402</v>
      </c>
      <c r="S36" s="28" t="s">
        <v>408</v>
      </c>
      <c r="T36" s="28" t="s">
        <v>403</v>
      </c>
      <c r="U36" s="28"/>
      <c r="V36" s="28"/>
      <c r="W36" s="28"/>
      <c r="X36" s="28"/>
      <c r="Y36" s="30">
        <v>0</v>
      </c>
      <c r="Z36" s="28"/>
      <c r="AA36" s="28"/>
      <c r="AB36" s="28" t="s">
        <v>124</v>
      </c>
      <c r="AC36" s="28" t="s">
        <v>128</v>
      </c>
      <c r="AD36" s="28" t="s">
        <v>404</v>
      </c>
      <c r="AE36" s="28"/>
      <c r="AF36" s="51" t="str">
        <f t="shared" si="0"/>
        <v>febrero</v>
      </c>
      <c r="AH36" t="s">
        <v>459</v>
      </c>
      <c r="AI36" t="s">
        <v>707</v>
      </c>
      <c r="AJ36" t="s">
        <v>408</v>
      </c>
      <c r="AK36" s="32" t="s">
        <v>255</v>
      </c>
      <c r="AL36">
        <v>4</v>
      </c>
    </row>
    <row r="37" spans="1:38" ht="115" x14ac:dyDescent="0.35">
      <c r="A37" s="28" t="s">
        <v>274</v>
      </c>
      <c r="B37" s="28" t="s">
        <v>123</v>
      </c>
      <c r="C37" s="28" t="s">
        <v>275</v>
      </c>
      <c r="D37" s="28" t="s">
        <v>276</v>
      </c>
      <c r="E37" s="28" t="s">
        <v>277</v>
      </c>
      <c r="F37" s="28" t="s">
        <v>255</v>
      </c>
      <c r="G37" s="28" t="s">
        <v>67</v>
      </c>
      <c r="H37" s="28"/>
      <c r="I37" s="28" t="s">
        <v>278</v>
      </c>
      <c r="J37" s="28" t="s">
        <v>128</v>
      </c>
      <c r="K37" s="29">
        <v>46064.40483796296</v>
      </c>
      <c r="L37" s="29">
        <v>46063.666666666664</v>
      </c>
      <c r="M37" s="29">
        <v>46063.729166666664</v>
      </c>
      <c r="N37" s="29">
        <v>46065.388796296298</v>
      </c>
      <c r="O37" s="29">
        <v>46065.388854166667</v>
      </c>
      <c r="P37" s="28"/>
      <c r="Q37" s="28" t="s">
        <v>39</v>
      </c>
      <c r="R37" s="28" t="s">
        <v>125</v>
      </c>
      <c r="S37" s="28" t="s">
        <v>67</v>
      </c>
      <c r="T37" s="28" t="s">
        <v>279</v>
      </c>
      <c r="U37" s="28"/>
      <c r="V37" s="28"/>
      <c r="W37" s="28"/>
      <c r="X37" s="28"/>
      <c r="Y37" s="30">
        <v>0</v>
      </c>
      <c r="Z37" s="28"/>
      <c r="AA37" s="28"/>
      <c r="AB37" s="28" t="s">
        <v>280</v>
      </c>
      <c r="AC37" s="28" t="s">
        <v>128</v>
      </c>
      <c r="AD37" s="28" t="s">
        <v>281</v>
      </c>
      <c r="AE37" s="28"/>
      <c r="AF37" s="51" t="str">
        <f t="shared" si="0"/>
        <v>febrero</v>
      </c>
      <c r="AH37" t="s">
        <v>144</v>
      </c>
      <c r="AI37" t="s">
        <v>707</v>
      </c>
      <c r="AJ37" t="s">
        <v>462</v>
      </c>
      <c r="AK37" s="32" t="s">
        <v>127</v>
      </c>
      <c r="AL37">
        <v>1</v>
      </c>
    </row>
    <row r="38" spans="1:38" ht="92" x14ac:dyDescent="0.35">
      <c r="A38" s="28" t="s">
        <v>470</v>
      </c>
      <c r="B38" s="28" t="s">
        <v>123</v>
      </c>
      <c r="C38" s="28" t="s">
        <v>471</v>
      </c>
      <c r="D38" s="28" t="s">
        <v>472</v>
      </c>
      <c r="E38" s="28" t="s">
        <v>473</v>
      </c>
      <c r="F38" s="28" t="s">
        <v>255</v>
      </c>
      <c r="G38" s="28" t="s">
        <v>474</v>
      </c>
      <c r="H38" s="28"/>
      <c r="I38" s="28" t="s">
        <v>475</v>
      </c>
      <c r="J38" s="28" t="s">
        <v>128</v>
      </c>
      <c r="K38" s="29">
        <v>46067.455995370372</v>
      </c>
      <c r="L38" s="29">
        <v>46067.375</v>
      </c>
      <c r="M38" s="29">
        <v>46067.583333333336</v>
      </c>
      <c r="N38" s="29">
        <v>46067.456226851849</v>
      </c>
      <c r="O38" s="29">
        <v>46067.598680555559</v>
      </c>
      <c r="P38" s="28"/>
      <c r="Q38" s="28" t="s">
        <v>476</v>
      </c>
      <c r="R38" s="28" t="s">
        <v>125</v>
      </c>
      <c r="S38" s="28" t="s">
        <v>474</v>
      </c>
      <c r="T38" s="28" t="s">
        <v>477</v>
      </c>
      <c r="U38" s="28"/>
      <c r="V38" s="28"/>
      <c r="W38" s="28"/>
      <c r="X38" s="28"/>
      <c r="Y38" s="30">
        <v>0</v>
      </c>
      <c r="Z38" s="28"/>
      <c r="AA38" s="28"/>
      <c r="AB38" s="28" t="s">
        <v>478</v>
      </c>
      <c r="AC38" s="28" t="s">
        <v>128</v>
      </c>
      <c r="AD38" s="28" t="s">
        <v>396</v>
      </c>
      <c r="AE38" s="28"/>
      <c r="AF38" s="51" t="str">
        <f t="shared" si="0"/>
        <v>febrero</v>
      </c>
      <c r="AH38" t="s">
        <v>144</v>
      </c>
      <c r="AI38" t="s">
        <v>707</v>
      </c>
      <c r="AJ38" t="s">
        <v>462</v>
      </c>
      <c r="AK38" s="32" t="s">
        <v>255</v>
      </c>
      <c r="AL38">
        <v>1</v>
      </c>
    </row>
    <row r="39" spans="1:38" ht="92" x14ac:dyDescent="0.35">
      <c r="A39" s="28" t="s">
        <v>479</v>
      </c>
      <c r="B39" s="28" t="s">
        <v>123</v>
      </c>
      <c r="C39" s="28" t="s">
        <v>480</v>
      </c>
      <c r="D39" s="28" t="s">
        <v>481</v>
      </c>
      <c r="E39" s="28" t="s">
        <v>482</v>
      </c>
      <c r="F39" s="28" t="s">
        <v>255</v>
      </c>
      <c r="G39" s="28" t="s">
        <v>462</v>
      </c>
      <c r="H39" s="28"/>
      <c r="I39" s="28" t="s">
        <v>483</v>
      </c>
      <c r="J39" s="28" t="s">
        <v>484</v>
      </c>
      <c r="K39" s="29">
        <v>46065.671099537038</v>
      </c>
      <c r="L39" s="29">
        <v>46067</v>
      </c>
      <c r="M39" s="29">
        <v>46067.020833333336</v>
      </c>
      <c r="N39" s="29">
        <v>46067.710115740738</v>
      </c>
      <c r="O39" s="29">
        <v>46067.725092592591</v>
      </c>
      <c r="P39" s="28" t="s">
        <v>485</v>
      </c>
      <c r="Q39" s="28" t="s">
        <v>144</v>
      </c>
      <c r="R39" s="28" t="s">
        <v>402</v>
      </c>
      <c r="S39" s="28" t="s">
        <v>462</v>
      </c>
      <c r="T39" s="28" t="s">
        <v>486</v>
      </c>
      <c r="U39" s="28"/>
      <c r="V39" s="28"/>
      <c r="W39" s="28" t="s">
        <v>487</v>
      </c>
      <c r="X39" s="28"/>
      <c r="Y39" s="30">
        <v>0</v>
      </c>
      <c r="Z39" s="28"/>
      <c r="AA39" s="28"/>
      <c r="AB39" s="28" t="s">
        <v>488</v>
      </c>
      <c r="AC39" s="28" t="s">
        <v>484</v>
      </c>
      <c r="AD39" s="28" t="s">
        <v>489</v>
      </c>
      <c r="AE39" s="28"/>
      <c r="AF39" s="51" t="str">
        <f t="shared" si="0"/>
        <v>febrero</v>
      </c>
      <c r="AH39" t="s">
        <v>476</v>
      </c>
      <c r="AI39" t="s">
        <v>707</v>
      </c>
      <c r="AJ39" t="s">
        <v>474</v>
      </c>
      <c r="AK39" s="32" t="s">
        <v>255</v>
      </c>
      <c r="AL39">
        <v>2</v>
      </c>
    </row>
    <row r="40" spans="1:38" ht="115" x14ac:dyDescent="0.35">
      <c r="A40" s="28" t="s">
        <v>490</v>
      </c>
      <c r="B40" s="28" t="s">
        <v>123</v>
      </c>
      <c r="C40" s="28" t="s">
        <v>491</v>
      </c>
      <c r="D40" s="28" t="s">
        <v>492</v>
      </c>
      <c r="E40" s="28" t="s">
        <v>193</v>
      </c>
      <c r="F40" s="28" t="s">
        <v>255</v>
      </c>
      <c r="G40" s="28" t="s">
        <v>493</v>
      </c>
      <c r="H40" s="28"/>
      <c r="I40" s="28" t="s">
        <v>494</v>
      </c>
      <c r="J40" s="28" t="s">
        <v>410</v>
      </c>
      <c r="K40" s="29">
        <v>46065.409803240742</v>
      </c>
      <c r="L40" s="29">
        <v>46065.583333333336</v>
      </c>
      <c r="M40" s="29">
        <v>46065.645833333336</v>
      </c>
      <c r="N40" s="29">
        <v>46065.590127314812</v>
      </c>
      <c r="O40" s="29">
        <v>46069.623078703706</v>
      </c>
      <c r="P40" s="28"/>
      <c r="Q40" s="28" t="s">
        <v>194</v>
      </c>
      <c r="R40" s="28" t="s">
        <v>402</v>
      </c>
      <c r="S40" s="28" t="s">
        <v>493</v>
      </c>
      <c r="T40" s="28" t="s">
        <v>495</v>
      </c>
      <c r="U40" s="28"/>
      <c r="V40" s="28"/>
      <c r="W40" s="28"/>
      <c r="X40" s="28"/>
      <c r="Y40" s="30">
        <v>0</v>
      </c>
      <c r="Z40" s="28"/>
      <c r="AA40" s="28"/>
      <c r="AB40" s="28" t="s">
        <v>496</v>
      </c>
      <c r="AC40" s="28" t="s">
        <v>410</v>
      </c>
      <c r="AD40" s="28" t="s">
        <v>497</v>
      </c>
      <c r="AE40" s="28"/>
      <c r="AF40" s="51" t="str">
        <f t="shared" si="0"/>
        <v>febrero</v>
      </c>
      <c r="AH40" t="s">
        <v>476</v>
      </c>
      <c r="AI40" t="s">
        <v>707</v>
      </c>
      <c r="AJ40" t="s">
        <v>541</v>
      </c>
      <c r="AK40" s="32" t="s">
        <v>255</v>
      </c>
      <c r="AL40">
        <v>2</v>
      </c>
    </row>
    <row r="41" spans="1:38" ht="92" x14ac:dyDescent="0.35">
      <c r="A41" s="28" t="s">
        <v>912</v>
      </c>
      <c r="B41" s="28" t="s">
        <v>123</v>
      </c>
      <c r="C41" s="28" t="s">
        <v>913</v>
      </c>
      <c r="D41" s="28" t="s">
        <v>136</v>
      </c>
      <c r="E41" s="28" t="s">
        <v>137</v>
      </c>
      <c r="F41" s="28" t="s">
        <v>867</v>
      </c>
      <c r="G41" s="28" t="s">
        <v>32</v>
      </c>
      <c r="H41" s="28"/>
      <c r="I41" s="28" t="s">
        <v>138</v>
      </c>
      <c r="J41" s="28" t="s">
        <v>128</v>
      </c>
      <c r="K41" s="29">
        <v>46069.690185185187</v>
      </c>
      <c r="L41" s="29">
        <v>46069.645833333336</v>
      </c>
      <c r="M41" s="29">
        <v>46069.708333333336</v>
      </c>
      <c r="N41" s="29">
        <v>46069.690300925926</v>
      </c>
      <c r="O41" s="29">
        <v>46069.690358796295</v>
      </c>
      <c r="P41" s="28"/>
      <c r="Q41" s="28" t="s">
        <v>36</v>
      </c>
      <c r="R41" s="28" t="s">
        <v>125</v>
      </c>
      <c r="S41" s="28" t="s">
        <v>32</v>
      </c>
      <c r="T41" s="28" t="s">
        <v>139</v>
      </c>
      <c r="U41" s="28"/>
      <c r="V41" s="28"/>
      <c r="W41" s="28"/>
      <c r="X41" s="28"/>
      <c r="Y41" s="30">
        <v>0</v>
      </c>
      <c r="Z41" s="28"/>
      <c r="AA41" s="28"/>
      <c r="AB41" s="28" t="s">
        <v>140</v>
      </c>
      <c r="AC41" s="28" t="s">
        <v>128</v>
      </c>
      <c r="AD41" s="28" t="s">
        <v>141</v>
      </c>
      <c r="AE41" s="28"/>
      <c r="AF41" s="51" t="str">
        <f t="shared" si="0"/>
        <v>febrero</v>
      </c>
      <c r="AH41" t="s">
        <v>476</v>
      </c>
      <c r="AI41" t="s">
        <v>708</v>
      </c>
      <c r="AJ41" t="s">
        <v>541</v>
      </c>
      <c r="AK41" s="32" t="s">
        <v>255</v>
      </c>
      <c r="AL41">
        <v>1</v>
      </c>
    </row>
    <row r="42" spans="1:38" ht="149.5" x14ac:dyDescent="0.35">
      <c r="A42" s="28" t="s">
        <v>146</v>
      </c>
      <c r="B42" s="28" t="s">
        <v>123</v>
      </c>
      <c r="C42" s="28" t="s">
        <v>147</v>
      </c>
      <c r="D42" s="28" t="s">
        <v>148</v>
      </c>
      <c r="E42" s="28" t="s">
        <v>149</v>
      </c>
      <c r="F42" s="28" t="s">
        <v>127</v>
      </c>
      <c r="G42" s="28" t="s">
        <v>64</v>
      </c>
      <c r="H42" s="28"/>
      <c r="I42" s="28" t="s">
        <v>150</v>
      </c>
      <c r="J42" s="28" t="s">
        <v>128</v>
      </c>
      <c r="K42" s="29">
        <v>46072.340833333335</v>
      </c>
      <c r="L42" s="29">
        <v>46072.375</v>
      </c>
      <c r="M42" s="29">
        <v>46072.5</v>
      </c>
      <c r="N42" s="29">
        <v>46072.396724537037</v>
      </c>
      <c r="O42" s="29">
        <v>46072.518287037034</v>
      </c>
      <c r="P42" s="28"/>
      <c r="Q42" s="28" t="s">
        <v>43</v>
      </c>
      <c r="R42" s="28" t="s">
        <v>125</v>
      </c>
      <c r="S42" s="28" t="s">
        <v>64</v>
      </c>
      <c r="T42" s="28" t="s">
        <v>151</v>
      </c>
      <c r="U42" s="28"/>
      <c r="V42" s="28"/>
      <c r="W42" s="28"/>
      <c r="X42" s="28"/>
      <c r="Y42" s="30">
        <v>0</v>
      </c>
      <c r="Z42" s="28"/>
      <c r="AA42" s="28"/>
      <c r="AB42" s="28" t="s">
        <v>152</v>
      </c>
      <c r="AC42" s="28" t="s">
        <v>128</v>
      </c>
      <c r="AD42" s="28" t="s">
        <v>153</v>
      </c>
      <c r="AE42" s="28"/>
      <c r="AF42" s="51" t="str">
        <f t="shared" si="0"/>
        <v>febrero</v>
      </c>
      <c r="AH42" t="s">
        <v>194</v>
      </c>
      <c r="AI42" t="s">
        <v>707</v>
      </c>
      <c r="AJ42" t="s">
        <v>493</v>
      </c>
      <c r="AK42" s="32" t="s">
        <v>255</v>
      </c>
      <c r="AL42">
        <v>1</v>
      </c>
    </row>
    <row r="43" spans="1:38" ht="126.5" x14ac:dyDescent="0.35">
      <c r="A43" s="28" t="s">
        <v>914</v>
      </c>
      <c r="B43" s="28" t="s">
        <v>123</v>
      </c>
      <c r="C43" s="28" t="s">
        <v>915</v>
      </c>
      <c r="D43" s="28" t="s">
        <v>916</v>
      </c>
      <c r="E43" s="28" t="s">
        <v>270</v>
      </c>
      <c r="F43" s="28" t="s">
        <v>867</v>
      </c>
      <c r="G43" s="28" t="s">
        <v>38</v>
      </c>
      <c r="H43" s="28"/>
      <c r="I43" s="28" t="s">
        <v>917</v>
      </c>
      <c r="J43" s="28" t="s">
        <v>128</v>
      </c>
      <c r="K43" s="29">
        <v>46072.593611111108</v>
      </c>
      <c r="L43" s="29">
        <v>46072.416666666664</v>
      </c>
      <c r="M43" s="29">
        <v>46072.583333333336</v>
      </c>
      <c r="N43" s="29">
        <v>46072.593680555554</v>
      </c>
      <c r="O43" s="29">
        <v>46072.594490740739</v>
      </c>
      <c r="P43" s="28"/>
      <c r="Q43" s="28" t="s">
        <v>37</v>
      </c>
      <c r="R43" s="28" t="s">
        <v>125</v>
      </c>
      <c r="S43" s="28" t="s">
        <v>38</v>
      </c>
      <c r="T43" s="28" t="s">
        <v>918</v>
      </c>
      <c r="U43" s="28"/>
      <c r="V43" s="28"/>
      <c r="W43" s="28"/>
      <c r="X43" s="28"/>
      <c r="Y43" s="30">
        <v>0</v>
      </c>
      <c r="Z43" s="28"/>
      <c r="AA43" s="28"/>
      <c r="AB43" s="28" t="s">
        <v>919</v>
      </c>
      <c r="AC43" s="28" t="s">
        <v>128</v>
      </c>
      <c r="AD43" s="28" t="s">
        <v>282</v>
      </c>
      <c r="AE43" s="28"/>
      <c r="AF43" s="51" t="str">
        <f t="shared" si="0"/>
        <v>febrero</v>
      </c>
      <c r="AH43" t="s">
        <v>194</v>
      </c>
      <c r="AI43" t="s">
        <v>708</v>
      </c>
      <c r="AJ43" t="s">
        <v>493</v>
      </c>
      <c r="AK43" s="32" t="s">
        <v>127</v>
      </c>
      <c r="AL43">
        <v>1</v>
      </c>
    </row>
    <row r="44" spans="1:38" ht="138" x14ac:dyDescent="0.35">
      <c r="A44" s="28" t="s">
        <v>498</v>
      </c>
      <c r="B44" s="28" t="s">
        <v>123</v>
      </c>
      <c r="C44" s="28" t="s">
        <v>392</v>
      </c>
      <c r="D44" s="28" t="s">
        <v>499</v>
      </c>
      <c r="E44" s="28" t="s">
        <v>500</v>
      </c>
      <c r="F44" s="28" t="s">
        <v>255</v>
      </c>
      <c r="G44" s="28" t="s">
        <v>390</v>
      </c>
      <c r="H44" s="28"/>
      <c r="I44" s="28" t="s">
        <v>501</v>
      </c>
      <c r="J44" s="28" t="s">
        <v>128</v>
      </c>
      <c r="K44" s="29">
        <v>46073.374293981484</v>
      </c>
      <c r="L44" s="29">
        <v>46073.375</v>
      </c>
      <c r="M44" s="29">
        <v>46073.395833333336</v>
      </c>
      <c r="N44" s="29">
        <v>46073.381678240738</v>
      </c>
      <c r="O44" s="29">
        <v>46073.390833333331</v>
      </c>
      <c r="P44" s="28"/>
      <c r="Q44" s="28" t="s">
        <v>393</v>
      </c>
      <c r="R44" s="28" t="s">
        <v>125</v>
      </c>
      <c r="S44" s="28" t="s">
        <v>390</v>
      </c>
      <c r="T44" s="28" t="s">
        <v>502</v>
      </c>
      <c r="U44" s="28"/>
      <c r="V44" s="28"/>
      <c r="W44" s="28"/>
      <c r="X44" s="28"/>
      <c r="Y44" s="30">
        <v>0</v>
      </c>
      <c r="Z44" s="28"/>
      <c r="AA44" s="28"/>
      <c r="AB44" s="28" t="s">
        <v>503</v>
      </c>
      <c r="AC44" s="28" t="s">
        <v>128</v>
      </c>
      <c r="AD44" s="28" t="s">
        <v>291</v>
      </c>
      <c r="AE44" s="28"/>
      <c r="AF44" s="51" t="str">
        <f t="shared" si="0"/>
        <v>febrero</v>
      </c>
      <c r="AH44" t="s">
        <v>194</v>
      </c>
      <c r="AI44" t="s">
        <v>708</v>
      </c>
      <c r="AJ44" t="s">
        <v>493</v>
      </c>
      <c r="AK44" s="32" t="s">
        <v>255</v>
      </c>
      <c r="AL44">
        <v>1</v>
      </c>
    </row>
    <row r="45" spans="1:38" ht="138" x14ac:dyDescent="0.35">
      <c r="A45" s="28" t="s">
        <v>283</v>
      </c>
      <c r="B45" s="28" t="s">
        <v>123</v>
      </c>
      <c r="C45" s="28" t="s">
        <v>284</v>
      </c>
      <c r="D45" s="28" t="s">
        <v>262</v>
      </c>
      <c r="E45" s="28" t="s">
        <v>125</v>
      </c>
      <c r="F45" s="28" t="s">
        <v>255</v>
      </c>
      <c r="G45" s="28" t="s">
        <v>69</v>
      </c>
      <c r="H45" s="28"/>
      <c r="I45" s="28" t="s">
        <v>124</v>
      </c>
      <c r="J45" s="28"/>
      <c r="K45" s="29">
        <v>46066.44090277778</v>
      </c>
      <c r="L45" s="29">
        <v>46072.729166666664</v>
      </c>
      <c r="M45" s="29">
        <v>46072.833333333336</v>
      </c>
      <c r="N45" s="29">
        <v>46073.397418981483</v>
      </c>
      <c r="O45" s="29">
        <v>46073.397604166668</v>
      </c>
      <c r="P45" s="28" t="s">
        <v>285</v>
      </c>
      <c r="Q45" s="28" t="s">
        <v>41</v>
      </c>
      <c r="R45" s="28" t="s">
        <v>125</v>
      </c>
      <c r="S45" s="28" t="s">
        <v>69</v>
      </c>
      <c r="T45" s="28" t="s">
        <v>263</v>
      </c>
      <c r="U45" s="28"/>
      <c r="V45" s="28"/>
      <c r="W45" s="28"/>
      <c r="X45" s="28"/>
      <c r="Y45" s="30">
        <v>0</v>
      </c>
      <c r="Z45" s="28"/>
      <c r="AA45" s="28"/>
      <c r="AB45" s="28" t="s">
        <v>124</v>
      </c>
      <c r="AC45" s="28"/>
      <c r="AD45" s="28"/>
      <c r="AE45" s="28"/>
      <c r="AF45" s="51" t="str">
        <f t="shared" si="0"/>
        <v>febrero</v>
      </c>
      <c r="AH45" t="s">
        <v>155</v>
      </c>
      <c r="AI45" t="s">
        <v>707</v>
      </c>
      <c r="AJ45" t="s">
        <v>507</v>
      </c>
      <c r="AK45" s="32" t="s">
        <v>127</v>
      </c>
      <c r="AL45">
        <v>1</v>
      </c>
    </row>
    <row r="46" spans="1:38" ht="126.5" x14ac:dyDescent="0.35">
      <c r="A46" s="28" t="s">
        <v>504</v>
      </c>
      <c r="B46" s="28" t="s">
        <v>123</v>
      </c>
      <c r="C46" s="28" t="s">
        <v>505</v>
      </c>
      <c r="D46" s="28" t="s">
        <v>506</v>
      </c>
      <c r="E46" s="28" t="s">
        <v>154</v>
      </c>
      <c r="F46" s="28" t="s">
        <v>127</v>
      </c>
      <c r="G46" s="28" t="s">
        <v>507</v>
      </c>
      <c r="H46" s="28"/>
      <c r="I46" s="28" t="s">
        <v>508</v>
      </c>
      <c r="J46" s="28" t="s">
        <v>128</v>
      </c>
      <c r="K46" s="29">
        <v>46073.375081018516</v>
      </c>
      <c r="L46" s="29">
        <v>46073.375</v>
      </c>
      <c r="M46" s="29">
        <v>46073.395833333336</v>
      </c>
      <c r="N46" s="29">
        <v>46073.375567129631</v>
      </c>
      <c r="O46" s="29">
        <v>46073.503541666665</v>
      </c>
      <c r="P46" s="28"/>
      <c r="Q46" s="28" t="s">
        <v>155</v>
      </c>
      <c r="R46" s="28" t="s">
        <v>402</v>
      </c>
      <c r="S46" s="28" t="s">
        <v>507</v>
      </c>
      <c r="T46" s="28" t="s">
        <v>509</v>
      </c>
      <c r="U46" s="28"/>
      <c r="V46" s="28"/>
      <c r="W46" s="28"/>
      <c r="X46" s="28"/>
      <c r="Y46" s="30">
        <v>0</v>
      </c>
      <c r="Z46" s="28"/>
      <c r="AA46" s="28"/>
      <c r="AB46" s="28" t="s">
        <v>510</v>
      </c>
      <c r="AC46" s="28" t="s">
        <v>128</v>
      </c>
      <c r="AD46" s="28" t="s">
        <v>511</v>
      </c>
      <c r="AE46" s="28"/>
      <c r="AF46" s="51" t="str">
        <f t="shared" si="0"/>
        <v>febrero</v>
      </c>
      <c r="AH46" t="s">
        <v>518</v>
      </c>
      <c r="AI46" t="s">
        <v>707</v>
      </c>
      <c r="AJ46" t="s">
        <v>516</v>
      </c>
      <c r="AK46" s="32" t="s">
        <v>255</v>
      </c>
      <c r="AL46">
        <v>1</v>
      </c>
    </row>
    <row r="47" spans="1:38" ht="149.5" x14ac:dyDescent="0.35">
      <c r="A47" s="28" t="s">
        <v>512</v>
      </c>
      <c r="B47" s="28" t="s">
        <v>123</v>
      </c>
      <c r="C47" s="28" t="s">
        <v>513</v>
      </c>
      <c r="D47" s="28" t="s">
        <v>514</v>
      </c>
      <c r="E47" s="28" t="s">
        <v>515</v>
      </c>
      <c r="F47" s="28" t="s">
        <v>255</v>
      </c>
      <c r="G47" s="28" t="s">
        <v>516</v>
      </c>
      <c r="H47" s="28"/>
      <c r="I47" s="28" t="s">
        <v>517</v>
      </c>
      <c r="J47" s="28" t="s">
        <v>128</v>
      </c>
      <c r="K47" s="29">
        <v>46073.535821759258</v>
      </c>
      <c r="L47" s="29">
        <v>46073.541666666664</v>
      </c>
      <c r="M47" s="29">
        <v>46073.5625</v>
      </c>
      <c r="N47" s="29">
        <v>46073.535902777781</v>
      </c>
      <c r="O47" s="29">
        <v>46073.535983796297</v>
      </c>
      <c r="P47" s="28"/>
      <c r="Q47" s="28" t="s">
        <v>518</v>
      </c>
      <c r="R47" s="28" t="s">
        <v>402</v>
      </c>
      <c r="S47" s="28" t="s">
        <v>516</v>
      </c>
      <c r="T47" s="28" t="s">
        <v>519</v>
      </c>
      <c r="U47" s="28"/>
      <c r="V47" s="28"/>
      <c r="W47" s="28"/>
      <c r="X47" s="28"/>
      <c r="Y47" s="30">
        <v>0</v>
      </c>
      <c r="Z47" s="28"/>
      <c r="AA47" s="28"/>
      <c r="AB47" s="28" t="s">
        <v>520</v>
      </c>
      <c r="AC47" s="28" t="s">
        <v>128</v>
      </c>
      <c r="AD47" s="28" t="s">
        <v>521</v>
      </c>
      <c r="AE47" s="28"/>
      <c r="AF47" s="51" t="str">
        <f t="shared" si="0"/>
        <v>febrero</v>
      </c>
      <c r="AH47" t="s">
        <v>529</v>
      </c>
      <c r="AI47" t="s">
        <v>707</v>
      </c>
      <c r="AJ47" t="s">
        <v>526</v>
      </c>
      <c r="AK47" s="32" t="s">
        <v>255</v>
      </c>
      <c r="AL47">
        <v>1</v>
      </c>
    </row>
    <row r="48" spans="1:38" ht="103.5" x14ac:dyDescent="0.35">
      <c r="A48" s="28" t="s">
        <v>920</v>
      </c>
      <c r="B48" s="28" t="s">
        <v>123</v>
      </c>
      <c r="C48" s="28" t="s">
        <v>921</v>
      </c>
      <c r="D48" s="28" t="s">
        <v>286</v>
      </c>
      <c r="E48" s="28" t="s">
        <v>287</v>
      </c>
      <c r="F48" s="28" t="s">
        <v>867</v>
      </c>
      <c r="G48" s="28" t="s">
        <v>64</v>
      </c>
      <c r="H48" s="28"/>
      <c r="I48" s="28" t="s">
        <v>288</v>
      </c>
      <c r="J48" s="28" t="s">
        <v>128</v>
      </c>
      <c r="K48" s="29">
        <v>46073.31177083333</v>
      </c>
      <c r="L48" s="29">
        <v>46073.583333333336</v>
      </c>
      <c r="M48" s="29">
        <v>46073.666666666664</v>
      </c>
      <c r="N48" s="29">
        <v>46073.575277777774</v>
      </c>
      <c r="O48" s="29">
        <v>46073.676365740743</v>
      </c>
      <c r="P48" s="28"/>
      <c r="Q48" s="28" t="s">
        <v>43</v>
      </c>
      <c r="R48" s="28" t="s">
        <v>125</v>
      </c>
      <c r="S48" s="28" t="s">
        <v>64</v>
      </c>
      <c r="T48" s="28" t="s">
        <v>289</v>
      </c>
      <c r="U48" s="28"/>
      <c r="V48" s="28"/>
      <c r="W48" s="28"/>
      <c r="X48" s="28"/>
      <c r="Y48" s="30">
        <v>0</v>
      </c>
      <c r="Z48" s="28"/>
      <c r="AA48" s="28"/>
      <c r="AB48" s="28" t="s">
        <v>290</v>
      </c>
      <c r="AC48" s="28" t="s">
        <v>128</v>
      </c>
      <c r="AD48" s="28" t="s">
        <v>291</v>
      </c>
      <c r="AE48" s="28"/>
      <c r="AF48" s="51" t="str">
        <f t="shared" si="0"/>
        <v>febrero</v>
      </c>
      <c r="AH48" t="s">
        <v>536</v>
      </c>
      <c r="AI48" t="s">
        <v>707</v>
      </c>
      <c r="AJ48" t="s">
        <v>534</v>
      </c>
      <c r="AK48" s="32" t="s">
        <v>255</v>
      </c>
      <c r="AL48">
        <v>2</v>
      </c>
    </row>
    <row r="49" spans="1:38" ht="80.5" x14ac:dyDescent="0.35">
      <c r="A49" s="28" t="s">
        <v>922</v>
      </c>
      <c r="B49" s="28" t="s">
        <v>123</v>
      </c>
      <c r="C49" s="28" t="s">
        <v>923</v>
      </c>
      <c r="D49" s="28" t="s">
        <v>924</v>
      </c>
      <c r="E49" s="28" t="s">
        <v>925</v>
      </c>
      <c r="F49" s="28" t="s">
        <v>867</v>
      </c>
      <c r="G49" s="28" t="s">
        <v>813</v>
      </c>
      <c r="H49" s="28"/>
      <c r="I49" s="28" t="s">
        <v>926</v>
      </c>
      <c r="J49" s="28" t="s">
        <v>448</v>
      </c>
      <c r="K49" s="29">
        <v>46073.728796296295</v>
      </c>
      <c r="L49" s="29">
        <v>46073.770833333336</v>
      </c>
      <c r="M49" s="29">
        <v>46073.833333333336</v>
      </c>
      <c r="N49" s="29">
        <v>46073.754363425927</v>
      </c>
      <c r="O49" s="29">
        <v>46073.884050925924</v>
      </c>
      <c r="P49" s="28"/>
      <c r="Q49" s="28" t="s">
        <v>799</v>
      </c>
      <c r="R49" s="28" t="s">
        <v>402</v>
      </c>
      <c r="S49" s="28" t="s">
        <v>813</v>
      </c>
      <c r="T49" s="28" t="s">
        <v>927</v>
      </c>
      <c r="U49" s="28"/>
      <c r="V49" s="28"/>
      <c r="W49" s="28"/>
      <c r="X49" s="28"/>
      <c r="Y49" s="30">
        <v>0</v>
      </c>
      <c r="Z49" s="28"/>
      <c r="AA49" s="28"/>
      <c r="AB49" s="28" t="s">
        <v>928</v>
      </c>
      <c r="AC49" s="28" t="s">
        <v>448</v>
      </c>
      <c r="AD49" s="28" t="s">
        <v>644</v>
      </c>
      <c r="AE49" s="28"/>
      <c r="AF49" s="51" t="str">
        <f t="shared" si="0"/>
        <v>febrero</v>
      </c>
      <c r="AH49" t="s">
        <v>570</v>
      </c>
      <c r="AI49" t="s">
        <v>707</v>
      </c>
      <c r="AJ49" t="s">
        <v>569</v>
      </c>
      <c r="AK49" s="32" t="s">
        <v>255</v>
      </c>
      <c r="AL49">
        <v>1</v>
      </c>
    </row>
    <row r="50" spans="1:38" ht="69" x14ac:dyDescent="0.35">
      <c r="A50" s="28" t="s">
        <v>522</v>
      </c>
      <c r="B50" s="28" t="s">
        <v>123</v>
      </c>
      <c r="C50" s="28" t="s">
        <v>523</v>
      </c>
      <c r="D50" s="28" t="s">
        <v>524</v>
      </c>
      <c r="E50" s="28" t="s">
        <v>525</v>
      </c>
      <c r="F50" s="28" t="s">
        <v>255</v>
      </c>
      <c r="G50" s="28" t="s">
        <v>526</v>
      </c>
      <c r="H50" s="28"/>
      <c r="I50" s="28" t="s">
        <v>527</v>
      </c>
      <c r="J50" s="28" t="s">
        <v>128</v>
      </c>
      <c r="K50" s="29">
        <v>46074.421284722222</v>
      </c>
      <c r="L50" s="29">
        <v>46074.375</v>
      </c>
      <c r="M50" s="29">
        <v>46074.583333333336</v>
      </c>
      <c r="N50" s="29">
        <v>46074.421377314815</v>
      </c>
      <c r="O50" s="29">
        <v>46074.590810185182</v>
      </c>
      <c r="P50" s="28" t="s">
        <v>528</v>
      </c>
      <c r="Q50" s="28" t="s">
        <v>529</v>
      </c>
      <c r="R50" s="28" t="s">
        <v>125</v>
      </c>
      <c r="S50" s="28" t="s">
        <v>526</v>
      </c>
      <c r="T50" s="28" t="s">
        <v>530</v>
      </c>
      <c r="U50" s="28"/>
      <c r="V50" s="28"/>
      <c r="W50" s="28"/>
      <c r="X50" s="28"/>
      <c r="Y50" s="30">
        <v>0</v>
      </c>
      <c r="Z50" s="28"/>
      <c r="AA50" s="28"/>
      <c r="AB50" s="28" t="s">
        <v>531</v>
      </c>
      <c r="AC50" s="28" t="s">
        <v>128</v>
      </c>
      <c r="AD50" s="28" t="s">
        <v>532</v>
      </c>
      <c r="AE50" s="28"/>
      <c r="AF50" s="51" t="str">
        <f t="shared" si="0"/>
        <v>febrero</v>
      </c>
      <c r="AH50" t="s">
        <v>376</v>
      </c>
      <c r="AI50" t="s">
        <v>708</v>
      </c>
      <c r="AJ50" t="s">
        <v>580</v>
      </c>
      <c r="AK50" s="32" t="s">
        <v>255</v>
      </c>
      <c r="AL50">
        <v>1</v>
      </c>
    </row>
    <row r="51" spans="1:38" ht="69" x14ac:dyDescent="0.35">
      <c r="A51" s="28" t="s">
        <v>533</v>
      </c>
      <c r="B51" s="28" t="s">
        <v>123</v>
      </c>
      <c r="C51" s="28" t="s">
        <v>523</v>
      </c>
      <c r="D51" s="28" t="s">
        <v>524</v>
      </c>
      <c r="E51" s="28" t="s">
        <v>525</v>
      </c>
      <c r="F51" s="28" t="s">
        <v>255</v>
      </c>
      <c r="G51" s="28" t="s">
        <v>534</v>
      </c>
      <c r="H51" s="28"/>
      <c r="I51" s="28" t="s">
        <v>527</v>
      </c>
      <c r="J51" s="28" t="s">
        <v>128</v>
      </c>
      <c r="K51" s="29">
        <v>46074.415324074071</v>
      </c>
      <c r="L51" s="29">
        <v>46074.375</v>
      </c>
      <c r="M51" s="29">
        <v>46074.604166666664</v>
      </c>
      <c r="N51" s="29">
        <v>46074.415462962963</v>
      </c>
      <c r="O51" s="29">
        <v>46074.598715277774</v>
      </c>
      <c r="P51" s="28" t="s">
        <v>535</v>
      </c>
      <c r="Q51" s="28" t="s">
        <v>536</v>
      </c>
      <c r="R51" s="28" t="s">
        <v>125</v>
      </c>
      <c r="S51" s="28" t="s">
        <v>534</v>
      </c>
      <c r="T51" s="28" t="s">
        <v>530</v>
      </c>
      <c r="U51" s="28"/>
      <c r="V51" s="28"/>
      <c r="W51" s="28"/>
      <c r="X51" s="28"/>
      <c r="Y51" s="30">
        <v>0</v>
      </c>
      <c r="Z51" s="28"/>
      <c r="AA51" s="28"/>
      <c r="AB51" s="28" t="s">
        <v>531</v>
      </c>
      <c r="AC51" s="28" t="s">
        <v>128</v>
      </c>
      <c r="AD51" s="28" t="s">
        <v>532</v>
      </c>
      <c r="AE51" s="28"/>
      <c r="AF51" s="51" t="str">
        <f t="shared" si="0"/>
        <v>febrero</v>
      </c>
      <c r="AH51" t="s">
        <v>376</v>
      </c>
      <c r="AI51" t="s">
        <v>708</v>
      </c>
      <c r="AJ51" t="s">
        <v>612</v>
      </c>
      <c r="AK51" s="32" t="s">
        <v>255</v>
      </c>
      <c r="AL51">
        <v>1</v>
      </c>
    </row>
    <row r="52" spans="1:38" ht="57.5" x14ac:dyDescent="0.35">
      <c r="A52" s="28" t="s">
        <v>292</v>
      </c>
      <c r="B52" s="28" t="s">
        <v>123</v>
      </c>
      <c r="C52" s="28" t="s">
        <v>293</v>
      </c>
      <c r="D52" s="28" t="s">
        <v>294</v>
      </c>
      <c r="E52" s="28" t="s">
        <v>295</v>
      </c>
      <c r="F52" s="28" t="s">
        <v>255</v>
      </c>
      <c r="G52" s="28" t="s">
        <v>42</v>
      </c>
      <c r="H52" s="28"/>
      <c r="I52" s="28" t="s">
        <v>296</v>
      </c>
      <c r="J52" s="28" t="s">
        <v>128</v>
      </c>
      <c r="K52" s="29">
        <v>46071.364594907405</v>
      </c>
      <c r="L52" s="29">
        <v>46072.708333333336</v>
      </c>
      <c r="M52" s="29">
        <v>46072.854166666664</v>
      </c>
      <c r="N52" s="29">
        <v>46072.714224537034</v>
      </c>
      <c r="O52" s="29">
        <v>46076.38040509259</v>
      </c>
      <c r="P52" s="28"/>
      <c r="Q52" s="28" t="s">
        <v>41</v>
      </c>
      <c r="R52" s="28" t="s">
        <v>125</v>
      </c>
      <c r="S52" s="28" t="s">
        <v>42</v>
      </c>
      <c r="T52" s="28" t="s">
        <v>297</v>
      </c>
      <c r="U52" s="28"/>
      <c r="V52" s="28"/>
      <c r="W52" s="28"/>
      <c r="X52" s="28"/>
      <c r="Y52" s="30">
        <v>0</v>
      </c>
      <c r="Z52" s="28"/>
      <c r="AA52" s="28"/>
      <c r="AB52" s="28" t="s">
        <v>298</v>
      </c>
      <c r="AC52" s="28" t="s">
        <v>128</v>
      </c>
      <c r="AD52" s="28" t="s">
        <v>135</v>
      </c>
      <c r="AE52" s="28"/>
      <c r="AF52" s="51" t="str">
        <f t="shared" si="0"/>
        <v>febrero</v>
      </c>
      <c r="AH52" t="s">
        <v>596</v>
      </c>
      <c r="AI52" t="s">
        <v>708</v>
      </c>
      <c r="AJ52" t="s">
        <v>408</v>
      </c>
      <c r="AK52" s="32" t="s">
        <v>255</v>
      </c>
      <c r="AL52">
        <v>4</v>
      </c>
    </row>
    <row r="53" spans="1:38" ht="46" x14ac:dyDescent="0.35">
      <c r="A53" s="28" t="s">
        <v>929</v>
      </c>
      <c r="B53" s="28" t="s">
        <v>123</v>
      </c>
      <c r="C53" s="28" t="s">
        <v>930</v>
      </c>
      <c r="D53" s="28" t="s">
        <v>262</v>
      </c>
      <c r="E53" s="28" t="s">
        <v>125</v>
      </c>
      <c r="F53" s="28" t="s">
        <v>867</v>
      </c>
      <c r="G53" s="28" t="s">
        <v>42</v>
      </c>
      <c r="H53" s="28"/>
      <c r="I53" s="28" t="s">
        <v>124</v>
      </c>
      <c r="J53" s="28"/>
      <c r="K53" s="29">
        <v>46071.366203703707</v>
      </c>
      <c r="L53" s="29">
        <v>46073.375</v>
      </c>
      <c r="M53" s="29">
        <v>46073.5</v>
      </c>
      <c r="N53" s="29">
        <v>46076.380636574075</v>
      </c>
      <c r="O53" s="29">
        <v>46076.380671296298</v>
      </c>
      <c r="P53" s="28"/>
      <c r="Q53" s="28" t="s">
        <v>41</v>
      </c>
      <c r="R53" s="28" t="s">
        <v>125</v>
      </c>
      <c r="S53" s="28" t="s">
        <v>42</v>
      </c>
      <c r="T53" s="28" t="s">
        <v>263</v>
      </c>
      <c r="U53" s="28"/>
      <c r="V53" s="28"/>
      <c r="W53" s="28"/>
      <c r="X53" s="28"/>
      <c r="Y53" s="30">
        <v>0</v>
      </c>
      <c r="Z53" s="28"/>
      <c r="AA53" s="28"/>
      <c r="AB53" s="28" t="s">
        <v>124</v>
      </c>
      <c r="AC53" s="28"/>
      <c r="AD53" s="28"/>
      <c r="AE53" s="28"/>
      <c r="AF53" s="51" t="str">
        <f t="shared" si="0"/>
        <v>febrero</v>
      </c>
      <c r="AH53" t="s">
        <v>381</v>
      </c>
      <c r="AI53" t="s">
        <v>381</v>
      </c>
      <c r="AJ53" t="s">
        <v>381</v>
      </c>
      <c r="AK53" s="32" t="s">
        <v>381</v>
      </c>
    </row>
    <row r="54" spans="1:38" ht="126.5" x14ac:dyDescent="0.35">
      <c r="A54" s="28" t="s">
        <v>537</v>
      </c>
      <c r="B54" s="28" t="s">
        <v>123</v>
      </c>
      <c r="C54" s="28" t="s">
        <v>538</v>
      </c>
      <c r="D54" s="28" t="s">
        <v>539</v>
      </c>
      <c r="E54" s="28" t="s">
        <v>540</v>
      </c>
      <c r="F54" s="28" t="s">
        <v>255</v>
      </c>
      <c r="G54" s="28" t="s">
        <v>541</v>
      </c>
      <c r="H54" s="28"/>
      <c r="I54" s="28" t="s">
        <v>542</v>
      </c>
      <c r="J54" s="28" t="s">
        <v>128</v>
      </c>
      <c r="K54" s="29">
        <v>46066.470358796294</v>
      </c>
      <c r="L54" s="29">
        <v>46066.458333333336</v>
      </c>
      <c r="M54" s="29">
        <v>46066.645833333336</v>
      </c>
      <c r="N54" s="29">
        <v>46066.470509259256</v>
      </c>
      <c r="O54" s="29">
        <v>46076.574641203704</v>
      </c>
      <c r="P54" s="28"/>
      <c r="Q54" s="28" t="s">
        <v>476</v>
      </c>
      <c r="R54" s="28" t="s">
        <v>125</v>
      </c>
      <c r="S54" s="28" t="s">
        <v>541</v>
      </c>
      <c r="T54" s="28" t="s">
        <v>543</v>
      </c>
      <c r="U54" s="28"/>
      <c r="V54" s="28"/>
      <c r="W54" s="28"/>
      <c r="X54" s="28"/>
      <c r="Y54" s="30">
        <v>0</v>
      </c>
      <c r="Z54" s="28"/>
      <c r="AA54" s="28"/>
      <c r="AB54" s="28" t="s">
        <v>544</v>
      </c>
      <c r="AC54" s="28" t="s">
        <v>128</v>
      </c>
      <c r="AD54" s="28" t="s">
        <v>545</v>
      </c>
      <c r="AE54" s="28"/>
      <c r="AF54" s="51" t="str">
        <f t="shared" si="0"/>
        <v>febrero</v>
      </c>
      <c r="AH54" s="32" t="s">
        <v>45</v>
      </c>
      <c r="AI54" s="32"/>
      <c r="AJ54" s="32"/>
      <c r="AK54" s="32"/>
      <c r="AL54">
        <v>84</v>
      </c>
    </row>
    <row r="55" spans="1:38" ht="92" x14ac:dyDescent="0.35">
      <c r="A55" s="28" t="s">
        <v>546</v>
      </c>
      <c r="B55" s="28" t="s">
        <v>123</v>
      </c>
      <c r="C55" s="28" t="s">
        <v>547</v>
      </c>
      <c r="D55" s="28" t="s">
        <v>472</v>
      </c>
      <c r="E55" s="28" t="s">
        <v>473</v>
      </c>
      <c r="F55" s="28" t="s">
        <v>255</v>
      </c>
      <c r="G55" s="28" t="s">
        <v>541</v>
      </c>
      <c r="H55" s="28"/>
      <c r="I55" s="28" t="s">
        <v>475</v>
      </c>
      <c r="J55" s="28" t="s">
        <v>128</v>
      </c>
      <c r="K55" s="29">
        <v>46067.342662037037</v>
      </c>
      <c r="L55" s="29">
        <v>46067.354166666664</v>
      </c>
      <c r="M55" s="29">
        <v>46067.416666666664</v>
      </c>
      <c r="N55" s="29">
        <v>46067.342812499999</v>
      </c>
      <c r="O55" s="29">
        <v>46076.576886574076</v>
      </c>
      <c r="P55" s="28"/>
      <c r="Q55" s="28" t="s">
        <v>476</v>
      </c>
      <c r="R55" s="28" t="s">
        <v>125</v>
      </c>
      <c r="S55" s="28" t="s">
        <v>541</v>
      </c>
      <c r="T55" s="28" t="s">
        <v>477</v>
      </c>
      <c r="U55" s="28"/>
      <c r="V55" s="28"/>
      <c r="W55" s="28"/>
      <c r="X55" s="28"/>
      <c r="Y55" s="30">
        <v>0</v>
      </c>
      <c r="Z55" s="28"/>
      <c r="AA55" s="28"/>
      <c r="AB55" s="28" t="s">
        <v>478</v>
      </c>
      <c r="AC55" s="28" t="s">
        <v>128</v>
      </c>
      <c r="AD55" s="28" t="s">
        <v>396</v>
      </c>
      <c r="AE55" s="28"/>
      <c r="AF55" s="51" t="str">
        <f t="shared" si="0"/>
        <v>febrero</v>
      </c>
    </row>
    <row r="56" spans="1:38" ht="92" x14ac:dyDescent="0.35">
      <c r="A56" s="28" t="s">
        <v>548</v>
      </c>
      <c r="B56" s="28" t="s">
        <v>123</v>
      </c>
      <c r="C56" s="28" t="s">
        <v>549</v>
      </c>
      <c r="D56" s="28" t="s">
        <v>550</v>
      </c>
      <c r="E56" s="28" t="s">
        <v>193</v>
      </c>
      <c r="F56" s="28" t="s">
        <v>255</v>
      </c>
      <c r="G56" s="28" t="s">
        <v>423</v>
      </c>
      <c r="H56" s="28"/>
      <c r="I56" s="28" t="s">
        <v>551</v>
      </c>
      <c r="J56" s="28" t="s">
        <v>425</v>
      </c>
      <c r="K56" s="29">
        <v>46079.267268518517</v>
      </c>
      <c r="L56" s="29">
        <v>46079.625</v>
      </c>
      <c r="M56" s="29">
        <v>46079.75</v>
      </c>
      <c r="N56" s="29">
        <v>46079.68141203704</v>
      </c>
      <c r="O56" s="29">
        <v>46079.681469907409</v>
      </c>
      <c r="P56" s="28"/>
      <c r="Q56" s="28" t="s">
        <v>131</v>
      </c>
      <c r="R56" s="28" t="s">
        <v>402</v>
      </c>
      <c r="S56" s="28" t="s">
        <v>423</v>
      </c>
      <c r="T56" s="28" t="s">
        <v>552</v>
      </c>
      <c r="U56" s="28"/>
      <c r="V56" s="28"/>
      <c r="W56" s="28"/>
      <c r="X56" s="28"/>
      <c r="Y56" s="30">
        <v>0</v>
      </c>
      <c r="Z56" s="28"/>
      <c r="AA56" s="28"/>
      <c r="AB56" s="28" t="s">
        <v>553</v>
      </c>
      <c r="AC56" s="28" t="s">
        <v>425</v>
      </c>
      <c r="AD56" s="28" t="s">
        <v>554</v>
      </c>
      <c r="AE56" s="28"/>
      <c r="AF56" s="51" t="str">
        <f t="shared" si="0"/>
        <v>febrero</v>
      </c>
    </row>
    <row r="57" spans="1:38" ht="57.5" x14ac:dyDescent="0.35">
      <c r="A57" s="28" t="s">
        <v>931</v>
      </c>
      <c r="B57" s="28" t="s">
        <v>123</v>
      </c>
      <c r="C57" s="28" t="s">
        <v>923</v>
      </c>
      <c r="D57" s="28" t="s">
        <v>932</v>
      </c>
      <c r="E57" s="28" t="s">
        <v>933</v>
      </c>
      <c r="F57" s="28" t="s">
        <v>867</v>
      </c>
      <c r="G57" s="28" t="s">
        <v>813</v>
      </c>
      <c r="H57" s="28"/>
      <c r="I57" s="28" t="s">
        <v>124</v>
      </c>
      <c r="J57" s="28" t="s">
        <v>448</v>
      </c>
      <c r="K57" s="29">
        <v>46079.618935185186</v>
      </c>
      <c r="L57" s="29">
        <v>46079.708333333336</v>
      </c>
      <c r="M57" s="29">
        <v>46079.8125</v>
      </c>
      <c r="N57" s="29">
        <v>46079.735185185185</v>
      </c>
      <c r="O57" s="29">
        <v>46079.910879629628</v>
      </c>
      <c r="P57" s="28"/>
      <c r="Q57" s="28" t="s">
        <v>799</v>
      </c>
      <c r="R57" s="28" t="s">
        <v>402</v>
      </c>
      <c r="S57" s="28" t="s">
        <v>813</v>
      </c>
      <c r="T57" s="28" t="s">
        <v>934</v>
      </c>
      <c r="U57" s="28"/>
      <c r="V57" s="28"/>
      <c r="W57" s="28"/>
      <c r="X57" s="28"/>
      <c r="Y57" s="30">
        <v>0</v>
      </c>
      <c r="Z57" s="28"/>
      <c r="AA57" s="28"/>
      <c r="AB57" s="28" t="s">
        <v>124</v>
      </c>
      <c r="AC57" s="28" t="s">
        <v>448</v>
      </c>
      <c r="AD57" s="28"/>
      <c r="AE57" s="28"/>
      <c r="AF57" s="51" t="str">
        <f t="shared" si="0"/>
        <v>febrero</v>
      </c>
    </row>
    <row r="58" spans="1:38" ht="138" x14ac:dyDescent="0.35">
      <c r="A58" s="28" t="s">
        <v>156</v>
      </c>
      <c r="B58" s="28" t="s">
        <v>123</v>
      </c>
      <c r="C58" s="28" t="s">
        <v>157</v>
      </c>
      <c r="D58" s="28" t="s">
        <v>158</v>
      </c>
      <c r="E58" s="28" t="s">
        <v>35</v>
      </c>
      <c r="F58" s="28" t="s">
        <v>127</v>
      </c>
      <c r="G58" s="28" t="s">
        <v>249</v>
      </c>
      <c r="H58" s="28"/>
      <c r="I58" s="28" t="s">
        <v>159</v>
      </c>
      <c r="J58" s="28" t="s">
        <v>160</v>
      </c>
      <c r="K58" s="29">
        <v>46080.460381944446</v>
      </c>
      <c r="L58" s="29">
        <v>46080.354166666664</v>
      </c>
      <c r="M58" s="29">
        <v>46080.541666666664</v>
      </c>
      <c r="N58" s="29">
        <v>46080.460532407407</v>
      </c>
      <c r="O58" s="29">
        <v>46080.532777777778</v>
      </c>
      <c r="P58" s="28" t="s">
        <v>161</v>
      </c>
      <c r="Q58" s="28" t="s">
        <v>33</v>
      </c>
      <c r="R58" s="28" t="s">
        <v>125</v>
      </c>
      <c r="S58" s="28" t="s">
        <v>249</v>
      </c>
      <c r="T58" s="28" t="s">
        <v>162</v>
      </c>
      <c r="U58" s="28"/>
      <c r="V58" s="28"/>
      <c r="W58" s="28"/>
      <c r="X58" s="28"/>
      <c r="Y58" s="30">
        <v>0</v>
      </c>
      <c r="Z58" s="28"/>
      <c r="AA58" s="28"/>
      <c r="AB58" s="28" t="s">
        <v>163</v>
      </c>
      <c r="AC58" s="28" t="s">
        <v>160</v>
      </c>
      <c r="AD58" s="28" t="s">
        <v>164</v>
      </c>
      <c r="AE58" s="28"/>
      <c r="AF58" s="51" t="str">
        <f t="shared" si="0"/>
        <v>febrero</v>
      </c>
    </row>
    <row r="59" spans="1:38" ht="92" x14ac:dyDescent="0.35">
      <c r="A59" s="28" t="s">
        <v>555</v>
      </c>
      <c r="B59" s="28" t="s">
        <v>123</v>
      </c>
      <c r="C59" s="28" t="s">
        <v>549</v>
      </c>
      <c r="D59" s="28" t="s">
        <v>550</v>
      </c>
      <c r="E59" s="28" t="s">
        <v>193</v>
      </c>
      <c r="F59" s="28" t="s">
        <v>255</v>
      </c>
      <c r="G59" s="28" t="s">
        <v>423</v>
      </c>
      <c r="H59" s="28"/>
      <c r="I59" s="28" t="s">
        <v>551</v>
      </c>
      <c r="J59" s="28" t="s">
        <v>425</v>
      </c>
      <c r="K59" s="29">
        <v>46079.268576388888</v>
      </c>
      <c r="L59" s="29">
        <v>46080.333333333336</v>
      </c>
      <c r="M59" s="29">
        <v>46080.791666666664</v>
      </c>
      <c r="N59" s="29">
        <v>46080.432025462964</v>
      </c>
      <c r="O59" s="29">
        <v>46080.730150462965</v>
      </c>
      <c r="P59" s="28"/>
      <c r="Q59" s="28" t="s">
        <v>131</v>
      </c>
      <c r="R59" s="28" t="s">
        <v>402</v>
      </c>
      <c r="S59" s="28" t="s">
        <v>423</v>
      </c>
      <c r="T59" s="28" t="s">
        <v>552</v>
      </c>
      <c r="U59" s="28"/>
      <c r="V59" s="28"/>
      <c r="W59" s="28"/>
      <c r="X59" s="28"/>
      <c r="Y59" s="30">
        <v>0</v>
      </c>
      <c r="Z59" s="28"/>
      <c r="AA59" s="28"/>
      <c r="AB59" s="28" t="s">
        <v>553</v>
      </c>
      <c r="AC59" s="28" t="s">
        <v>425</v>
      </c>
      <c r="AD59" s="28" t="s">
        <v>554</v>
      </c>
      <c r="AE59" s="28"/>
      <c r="AF59" s="51" t="str">
        <f t="shared" si="0"/>
        <v>febrero</v>
      </c>
    </row>
    <row r="60" spans="1:38" ht="92" x14ac:dyDescent="0.35">
      <c r="A60" s="28" t="s">
        <v>556</v>
      </c>
      <c r="B60" s="28" t="s">
        <v>123</v>
      </c>
      <c r="C60" s="28" t="s">
        <v>557</v>
      </c>
      <c r="D60" s="28" t="s">
        <v>558</v>
      </c>
      <c r="E60" s="28" t="s">
        <v>559</v>
      </c>
      <c r="F60" s="28" t="s">
        <v>255</v>
      </c>
      <c r="G60" s="28" t="s">
        <v>474</v>
      </c>
      <c r="H60" s="28"/>
      <c r="I60" s="28" t="s">
        <v>560</v>
      </c>
      <c r="J60" s="28" t="s">
        <v>128</v>
      </c>
      <c r="K60" s="29">
        <v>46081.535162037035</v>
      </c>
      <c r="L60" s="29">
        <v>46081.375</v>
      </c>
      <c r="M60" s="29">
        <v>46081.604166666664</v>
      </c>
      <c r="N60" s="29">
        <v>46081.535324074073</v>
      </c>
      <c r="O60" s="29">
        <v>46081.610347222224</v>
      </c>
      <c r="P60" s="28"/>
      <c r="Q60" s="28" t="s">
        <v>476</v>
      </c>
      <c r="R60" s="28" t="s">
        <v>125</v>
      </c>
      <c r="S60" s="28" t="s">
        <v>474</v>
      </c>
      <c r="T60" s="28" t="s">
        <v>561</v>
      </c>
      <c r="U60" s="28"/>
      <c r="V60" s="28"/>
      <c r="W60" s="28"/>
      <c r="X60" s="28"/>
      <c r="Y60" s="30">
        <v>0</v>
      </c>
      <c r="Z60" s="28"/>
      <c r="AA60" s="28"/>
      <c r="AB60" s="28" t="s">
        <v>562</v>
      </c>
      <c r="AC60" s="28" t="s">
        <v>128</v>
      </c>
      <c r="AD60" s="28" t="s">
        <v>291</v>
      </c>
      <c r="AE60" s="28"/>
      <c r="AF60" s="51" t="str">
        <f t="shared" si="0"/>
        <v>febrero</v>
      </c>
    </row>
    <row r="61" spans="1:38" ht="92" x14ac:dyDescent="0.35">
      <c r="A61" s="28" t="s">
        <v>563</v>
      </c>
      <c r="B61" s="28" t="s">
        <v>123</v>
      </c>
      <c r="C61" s="28" t="s">
        <v>564</v>
      </c>
      <c r="D61" s="28" t="s">
        <v>550</v>
      </c>
      <c r="E61" s="28" t="s">
        <v>193</v>
      </c>
      <c r="F61" s="28" t="s">
        <v>255</v>
      </c>
      <c r="G61" s="28" t="s">
        <v>423</v>
      </c>
      <c r="H61" s="28"/>
      <c r="I61" s="28" t="s">
        <v>551</v>
      </c>
      <c r="J61" s="28" t="s">
        <v>425</v>
      </c>
      <c r="K61" s="29">
        <v>46079.269513888888</v>
      </c>
      <c r="L61" s="29">
        <v>46081.333333333336</v>
      </c>
      <c r="M61" s="29">
        <v>46081.791666666664</v>
      </c>
      <c r="N61" s="29">
        <v>46081.563518518517</v>
      </c>
      <c r="O61" s="29">
        <v>46081.653449074074</v>
      </c>
      <c r="P61" s="28"/>
      <c r="Q61" s="28" t="s">
        <v>131</v>
      </c>
      <c r="R61" s="28" t="s">
        <v>402</v>
      </c>
      <c r="S61" s="28" t="s">
        <v>423</v>
      </c>
      <c r="T61" s="28" t="s">
        <v>552</v>
      </c>
      <c r="U61" s="28"/>
      <c r="V61" s="28"/>
      <c r="W61" s="28"/>
      <c r="X61" s="28"/>
      <c r="Y61" s="30">
        <v>0</v>
      </c>
      <c r="Z61" s="28"/>
      <c r="AA61" s="28"/>
      <c r="AB61" s="28" t="s">
        <v>553</v>
      </c>
      <c r="AC61" s="28" t="s">
        <v>425</v>
      </c>
      <c r="AD61" s="28" t="s">
        <v>554</v>
      </c>
      <c r="AE61" s="28"/>
      <c r="AF61" s="51" t="str">
        <f t="shared" si="0"/>
        <v>febrero</v>
      </c>
    </row>
    <row r="62" spans="1:38" ht="69" x14ac:dyDescent="0.35">
      <c r="A62" s="28" t="s">
        <v>565</v>
      </c>
      <c r="B62" s="28" t="s">
        <v>123</v>
      </c>
      <c r="C62" s="28" t="s">
        <v>566</v>
      </c>
      <c r="D62" s="28" t="s">
        <v>524</v>
      </c>
      <c r="E62" s="28" t="s">
        <v>525</v>
      </c>
      <c r="F62" s="28" t="s">
        <v>255</v>
      </c>
      <c r="G62" s="28" t="s">
        <v>534</v>
      </c>
      <c r="H62" s="28"/>
      <c r="I62" s="28" t="s">
        <v>527</v>
      </c>
      <c r="J62" s="28" t="s">
        <v>128</v>
      </c>
      <c r="K62" s="29">
        <v>46081.471053240741</v>
      </c>
      <c r="L62" s="29">
        <v>46081.416666666664</v>
      </c>
      <c r="M62" s="29">
        <v>46081.666666666664</v>
      </c>
      <c r="N62" s="29">
        <v>46081.471226851849</v>
      </c>
      <c r="O62" s="29">
        <v>46081.655949074076</v>
      </c>
      <c r="P62" s="28" t="s">
        <v>567</v>
      </c>
      <c r="Q62" s="28" t="s">
        <v>536</v>
      </c>
      <c r="R62" s="28" t="s">
        <v>125</v>
      </c>
      <c r="S62" s="28" t="s">
        <v>534</v>
      </c>
      <c r="T62" s="28" t="s">
        <v>530</v>
      </c>
      <c r="U62" s="28"/>
      <c r="V62" s="28"/>
      <c r="W62" s="28"/>
      <c r="X62" s="28"/>
      <c r="Y62" s="30">
        <v>0</v>
      </c>
      <c r="Z62" s="28"/>
      <c r="AA62" s="28"/>
      <c r="AB62" s="28" t="s">
        <v>531</v>
      </c>
      <c r="AC62" s="28" t="s">
        <v>128</v>
      </c>
      <c r="AD62" s="28" t="s">
        <v>532</v>
      </c>
      <c r="AE62" s="28"/>
      <c r="AF62" s="51" t="str">
        <f t="shared" si="0"/>
        <v>febrero</v>
      </c>
    </row>
    <row r="63" spans="1:38" ht="92" x14ac:dyDescent="0.35">
      <c r="A63" s="28" t="s">
        <v>299</v>
      </c>
      <c r="B63" s="28" t="s">
        <v>123</v>
      </c>
      <c r="C63" s="28" t="s">
        <v>300</v>
      </c>
      <c r="D63" s="28" t="s">
        <v>301</v>
      </c>
      <c r="E63" s="28" t="s">
        <v>302</v>
      </c>
      <c r="F63" s="28" t="s">
        <v>255</v>
      </c>
      <c r="G63" s="28" t="s">
        <v>67</v>
      </c>
      <c r="H63" s="28"/>
      <c r="I63" s="28" t="s">
        <v>303</v>
      </c>
      <c r="J63" s="28" t="s">
        <v>128</v>
      </c>
      <c r="K63" s="29">
        <v>46080.875324074077</v>
      </c>
      <c r="L63" s="29">
        <v>46080.333333333336</v>
      </c>
      <c r="M63" s="29">
        <v>46080.416666666664</v>
      </c>
      <c r="N63" s="29">
        <v>46081.738333333335</v>
      </c>
      <c r="O63" s="29">
        <v>46081.738391203704</v>
      </c>
      <c r="P63" s="28"/>
      <c r="Q63" s="28" t="s">
        <v>39</v>
      </c>
      <c r="R63" s="28" t="s">
        <v>125</v>
      </c>
      <c r="S63" s="28" t="s">
        <v>67</v>
      </c>
      <c r="T63" s="28" t="s">
        <v>304</v>
      </c>
      <c r="U63" s="28"/>
      <c r="V63" s="28"/>
      <c r="W63" s="28"/>
      <c r="X63" s="28"/>
      <c r="Y63" s="30">
        <v>0</v>
      </c>
      <c r="Z63" s="28"/>
      <c r="AA63" s="28"/>
      <c r="AB63" s="28" t="s">
        <v>305</v>
      </c>
      <c r="AC63" s="28" t="s">
        <v>128</v>
      </c>
      <c r="AD63" s="28" t="s">
        <v>306</v>
      </c>
      <c r="AE63" s="28"/>
      <c r="AF63" s="51" t="str">
        <f t="shared" si="0"/>
        <v>febrero</v>
      </c>
    </row>
    <row r="64" spans="1:38" ht="92" x14ac:dyDescent="0.35">
      <c r="A64" s="28" t="s">
        <v>568</v>
      </c>
      <c r="B64" s="28" t="s">
        <v>123</v>
      </c>
      <c r="C64" s="28" t="s">
        <v>557</v>
      </c>
      <c r="D64" s="28" t="s">
        <v>558</v>
      </c>
      <c r="E64" s="28" t="s">
        <v>559</v>
      </c>
      <c r="F64" s="28" t="s">
        <v>255</v>
      </c>
      <c r="G64" s="28" t="s">
        <v>569</v>
      </c>
      <c r="H64" s="28"/>
      <c r="I64" s="28" t="s">
        <v>560</v>
      </c>
      <c r="J64" s="28" t="s">
        <v>128</v>
      </c>
      <c r="K64" s="29">
        <v>46081.410555555558</v>
      </c>
      <c r="L64" s="29">
        <v>46081.375</v>
      </c>
      <c r="M64" s="29">
        <v>46081.666666666664</v>
      </c>
      <c r="N64" s="29">
        <v>46081.41064814815</v>
      </c>
      <c r="O64" s="29">
        <v>46081.832152777781</v>
      </c>
      <c r="P64" s="28"/>
      <c r="Q64" s="28" t="s">
        <v>570</v>
      </c>
      <c r="R64" s="28" t="s">
        <v>125</v>
      </c>
      <c r="S64" s="28" t="s">
        <v>569</v>
      </c>
      <c r="T64" s="28" t="s">
        <v>561</v>
      </c>
      <c r="U64" s="28"/>
      <c r="V64" s="28"/>
      <c r="W64" s="28"/>
      <c r="X64" s="28"/>
      <c r="Y64" s="30">
        <v>0</v>
      </c>
      <c r="Z64" s="28"/>
      <c r="AA64" s="28"/>
      <c r="AB64" s="28" t="s">
        <v>562</v>
      </c>
      <c r="AC64" s="28" t="s">
        <v>128</v>
      </c>
      <c r="AD64" s="28" t="s">
        <v>291</v>
      </c>
      <c r="AE64" s="28"/>
      <c r="AF64" s="51" t="str">
        <f t="shared" si="0"/>
        <v>febrero</v>
      </c>
    </row>
    <row r="65" spans="1:32" ht="161" x14ac:dyDescent="0.35">
      <c r="A65" s="28" t="s">
        <v>571</v>
      </c>
      <c r="B65" s="28" t="s">
        <v>123</v>
      </c>
      <c r="C65" s="28" t="s">
        <v>572</v>
      </c>
      <c r="D65" s="28" t="s">
        <v>550</v>
      </c>
      <c r="E65" s="28" t="s">
        <v>193</v>
      </c>
      <c r="F65" s="28" t="s">
        <v>255</v>
      </c>
      <c r="G65" s="28" t="s">
        <v>423</v>
      </c>
      <c r="H65" s="28"/>
      <c r="I65" s="28" t="s">
        <v>551</v>
      </c>
      <c r="J65" s="28" t="s">
        <v>425</v>
      </c>
      <c r="K65" s="29">
        <v>46079.27107638889</v>
      </c>
      <c r="L65" s="29">
        <v>46082.375</v>
      </c>
      <c r="M65" s="29">
        <v>46082.791666666664</v>
      </c>
      <c r="N65" s="29">
        <v>46082.350266203706</v>
      </c>
      <c r="O65" s="29">
        <v>46082.69730324074</v>
      </c>
      <c r="P65" s="28"/>
      <c r="Q65" s="28" t="s">
        <v>131</v>
      </c>
      <c r="R65" s="28" t="s">
        <v>402</v>
      </c>
      <c r="S65" s="28" t="s">
        <v>423</v>
      </c>
      <c r="T65" s="28" t="s">
        <v>552</v>
      </c>
      <c r="U65" s="28"/>
      <c r="V65" s="28"/>
      <c r="W65" s="28" t="s">
        <v>573</v>
      </c>
      <c r="X65" s="28"/>
      <c r="Y65" s="30">
        <v>0</v>
      </c>
      <c r="Z65" s="28"/>
      <c r="AA65" s="28"/>
      <c r="AB65" s="28" t="s">
        <v>553</v>
      </c>
      <c r="AC65" s="28" t="s">
        <v>425</v>
      </c>
      <c r="AD65" s="28" t="s">
        <v>554</v>
      </c>
      <c r="AE65" s="28"/>
      <c r="AF65" s="51" t="str">
        <f t="shared" si="0"/>
        <v>marzo</v>
      </c>
    </row>
    <row r="66" spans="1:32" ht="115" x14ac:dyDescent="0.35">
      <c r="A66" s="28" t="s">
        <v>574</v>
      </c>
      <c r="B66" s="28" t="s">
        <v>123</v>
      </c>
      <c r="C66" s="28" t="s">
        <v>575</v>
      </c>
      <c r="D66" s="28" t="s">
        <v>492</v>
      </c>
      <c r="E66" s="28" t="s">
        <v>193</v>
      </c>
      <c r="F66" s="28" t="s">
        <v>255</v>
      </c>
      <c r="G66" s="28" t="s">
        <v>493</v>
      </c>
      <c r="H66" s="28"/>
      <c r="I66" s="28" t="s">
        <v>494</v>
      </c>
      <c r="J66" s="28" t="s">
        <v>410</v>
      </c>
      <c r="K66" s="29">
        <v>46082.338530092595</v>
      </c>
      <c r="L66" s="29">
        <v>46082.354166666664</v>
      </c>
      <c r="M66" s="29">
        <v>46082.5</v>
      </c>
      <c r="N66" s="29">
        <v>46082.338750000003</v>
      </c>
      <c r="O66" s="29">
        <v>46083.914166666669</v>
      </c>
      <c r="P66" s="28"/>
      <c r="Q66" s="28" t="s">
        <v>194</v>
      </c>
      <c r="R66" s="28" t="s">
        <v>402</v>
      </c>
      <c r="S66" s="28" t="s">
        <v>493</v>
      </c>
      <c r="T66" s="28" t="s">
        <v>495</v>
      </c>
      <c r="U66" s="28"/>
      <c r="V66" s="28"/>
      <c r="W66" s="28"/>
      <c r="X66" s="28"/>
      <c r="Y66" s="30">
        <v>0</v>
      </c>
      <c r="Z66" s="28"/>
      <c r="AA66" s="28"/>
      <c r="AB66" s="28" t="s">
        <v>496</v>
      </c>
      <c r="AC66" s="28" t="s">
        <v>410</v>
      </c>
      <c r="AD66" s="28" t="s">
        <v>497</v>
      </c>
      <c r="AE66" s="28"/>
      <c r="AF66" s="51" t="str">
        <f t="shared" si="0"/>
        <v>marzo</v>
      </c>
    </row>
    <row r="67" spans="1:32" ht="57.5" x14ac:dyDescent="0.35">
      <c r="A67" s="28" t="s">
        <v>935</v>
      </c>
      <c r="B67" s="28" t="s">
        <v>123</v>
      </c>
      <c r="C67" s="28" t="s">
        <v>936</v>
      </c>
      <c r="D67" s="28" t="s">
        <v>399</v>
      </c>
      <c r="E67" s="28" t="s">
        <v>126</v>
      </c>
      <c r="F67" s="28" t="s">
        <v>867</v>
      </c>
      <c r="G67" s="28" t="s">
        <v>408</v>
      </c>
      <c r="H67" s="28"/>
      <c r="I67" s="28" t="s">
        <v>401</v>
      </c>
      <c r="J67" s="28" t="s">
        <v>128</v>
      </c>
      <c r="K67" s="29">
        <v>46084.346284722225</v>
      </c>
      <c r="L67" s="29">
        <v>46084.541666666664</v>
      </c>
      <c r="M67" s="29">
        <v>46084.6875</v>
      </c>
      <c r="N67" s="29">
        <v>46084.613726851851</v>
      </c>
      <c r="O67" s="29">
        <v>46084.718310185184</v>
      </c>
      <c r="P67" s="28"/>
      <c r="Q67" s="28" t="s">
        <v>459</v>
      </c>
      <c r="R67" s="28" t="s">
        <v>402</v>
      </c>
      <c r="S67" s="28" t="s">
        <v>408</v>
      </c>
      <c r="T67" s="28" t="s">
        <v>630</v>
      </c>
      <c r="U67" s="28"/>
      <c r="V67" s="28"/>
      <c r="W67" s="28"/>
      <c r="X67" s="28"/>
      <c r="Y67" s="30">
        <v>0</v>
      </c>
      <c r="Z67" s="28"/>
      <c r="AA67" s="28"/>
      <c r="AB67" s="28" t="s">
        <v>631</v>
      </c>
      <c r="AC67" s="28" t="s">
        <v>128</v>
      </c>
      <c r="AD67" s="28" t="s">
        <v>404</v>
      </c>
      <c r="AE67" s="28"/>
      <c r="AF67" s="51" t="str">
        <f t="shared" ref="AF67:AF85" si="1">TEXT(L67,"mmmm")</f>
        <v>marzo</v>
      </c>
    </row>
    <row r="68" spans="1:32" ht="57.5" x14ac:dyDescent="0.35">
      <c r="A68" s="28" t="s">
        <v>165</v>
      </c>
      <c r="B68" s="28" t="s">
        <v>123</v>
      </c>
      <c r="C68" s="28" t="s">
        <v>166</v>
      </c>
      <c r="D68" s="28" t="s">
        <v>167</v>
      </c>
      <c r="E68" s="28" t="s">
        <v>168</v>
      </c>
      <c r="F68" s="28" t="s">
        <v>127</v>
      </c>
      <c r="G68" s="28" t="s">
        <v>249</v>
      </c>
      <c r="H68" s="28"/>
      <c r="I68" s="28" t="s">
        <v>124</v>
      </c>
      <c r="J68" s="28"/>
      <c r="K68" s="29">
        <v>46085.334861111114</v>
      </c>
      <c r="L68" s="29">
        <v>46085.333333333336</v>
      </c>
      <c r="M68" s="29">
        <v>46085.416666666664</v>
      </c>
      <c r="N68" s="29">
        <v>46085.335497685184</v>
      </c>
      <c r="O68" s="29">
        <v>46085.36755787037</v>
      </c>
      <c r="P68" s="28"/>
      <c r="Q68" s="28" t="s">
        <v>33</v>
      </c>
      <c r="R68" s="28" t="s">
        <v>125</v>
      </c>
      <c r="S68" s="28" t="s">
        <v>249</v>
      </c>
      <c r="T68" s="28" t="s">
        <v>169</v>
      </c>
      <c r="U68" s="28"/>
      <c r="V68" s="28"/>
      <c r="W68" s="28"/>
      <c r="X68" s="28"/>
      <c r="Y68" s="30">
        <v>0</v>
      </c>
      <c r="Z68" s="28"/>
      <c r="AA68" s="28"/>
      <c r="AB68" s="28" t="s">
        <v>124</v>
      </c>
      <c r="AC68" s="28"/>
      <c r="AD68" s="28"/>
      <c r="AE68" s="28"/>
      <c r="AF68" s="51" t="str">
        <f t="shared" si="1"/>
        <v>marzo</v>
      </c>
    </row>
    <row r="69" spans="1:32" ht="149.5" x14ac:dyDescent="0.35">
      <c r="A69" s="28" t="s">
        <v>170</v>
      </c>
      <c r="B69" s="28" t="s">
        <v>123</v>
      </c>
      <c r="C69" s="28" t="s">
        <v>171</v>
      </c>
      <c r="D69" s="28" t="s">
        <v>136</v>
      </c>
      <c r="E69" s="28" t="s">
        <v>137</v>
      </c>
      <c r="F69" s="28" t="s">
        <v>127</v>
      </c>
      <c r="G69" s="28" t="s">
        <v>249</v>
      </c>
      <c r="H69" s="28"/>
      <c r="I69" s="28" t="s">
        <v>138</v>
      </c>
      <c r="J69" s="28" t="s">
        <v>128</v>
      </c>
      <c r="K69" s="29">
        <v>46085.467523148145</v>
      </c>
      <c r="L69" s="29">
        <v>46085.458333333336</v>
      </c>
      <c r="M69" s="29">
        <v>46085.520833333336</v>
      </c>
      <c r="N69" s="29">
        <v>46085.467800925922</v>
      </c>
      <c r="O69" s="29">
        <v>46085.49324074074</v>
      </c>
      <c r="P69" s="28" t="s">
        <v>172</v>
      </c>
      <c r="Q69" s="28" t="s">
        <v>33</v>
      </c>
      <c r="R69" s="28" t="s">
        <v>125</v>
      </c>
      <c r="S69" s="28" t="s">
        <v>249</v>
      </c>
      <c r="T69" s="28" t="s">
        <v>139</v>
      </c>
      <c r="U69" s="28"/>
      <c r="V69" s="28"/>
      <c r="W69" s="28"/>
      <c r="X69" s="28"/>
      <c r="Y69" s="30">
        <v>0</v>
      </c>
      <c r="Z69" s="28"/>
      <c r="AA69" s="28"/>
      <c r="AB69" s="28" t="s">
        <v>140</v>
      </c>
      <c r="AC69" s="28" t="s">
        <v>128</v>
      </c>
      <c r="AD69" s="28" t="s">
        <v>141</v>
      </c>
      <c r="AE69" s="28"/>
      <c r="AF69" s="51" t="str">
        <f t="shared" si="1"/>
        <v>marzo</v>
      </c>
    </row>
    <row r="70" spans="1:32" ht="69" x14ac:dyDescent="0.35">
      <c r="A70" s="28" t="s">
        <v>937</v>
      </c>
      <c r="B70" s="28" t="s">
        <v>123</v>
      </c>
      <c r="C70" s="28" t="s">
        <v>938</v>
      </c>
      <c r="D70" s="28" t="s">
        <v>407</v>
      </c>
      <c r="E70" s="28" t="s">
        <v>223</v>
      </c>
      <c r="F70" s="28" t="s">
        <v>867</v>
      </c>
      <c r="G70" s="28" t="s">
        <v>812</v>
      </c>
      <c r="H70" s="28"/>
      <c r="I70" s="28" t="s">
        <v>409</v>
      </c>
      <c r="J70" s="28" t="s">
        <v>410</v>
      </c>
      <c r="K70" s="29">
        <v>46084.887187499997</v>
      </c>
      <c r="L70" s="29">
        <v>46085.458333333336</v>
      </c>
      <c r="M70" s="29">
        <v>46085.5625</v>
      </c>
      <c r="N70" s="29">
        <v>46085.444189814814</v>
      </c>
      <c r="O70" s="29">
        <v>46085.501585648148</v>
      </c>
      <c r="P70" s="28"/>
      <c r="Q70" s="28" t="s">
        <v>799</v>
      </c>
      <c r="R70" s="28" t="s">
        <v>402</v>
      </c>
      <c r="S70" s="28" t="s">
        <v>812</v>
      </c>
      <c r="T70" s="28" t="s">
        <v>588</v>
      </c>
      <c r="U70" s="28"/>
      <c r="V70" s="28"/>
      <c r="W70" s="28"/>
      <c r="X70" s="28"/>
      <c r="Y70" s="30">
        <v>0</v>
      </c>
      <c r="Z70" s="28"/>
      <c r="AA70" s="28"/>
      <c r="AB70" s="28" t="s">
        <v>589</v>
      </c>
      <c r="AC70" s="28" t="s">
        <v>410</v>
      </c>
      <c r="AD70" s="28" t="s">
        <v>413</v>
      </c>
      <c r="AE70" s="28"/>
      <c r="AF70" s="51" t="str">
        <f t="shared" si="1"/>
        <v>marzo</v>
      </c>
    </row>
    <row r="71" spans="1:32" ht="126.5" x14ac:dyDescent="0.35">
      <c r="A71" s="28" t="s">
        <v>173</v>
      </c>
      <c r="B71" s="28" t="s">
        <v>123</v>
      </c>
      <c r="C71" s="28" t="s">
        <v>174</v>
      </c>
      <c r="D71" s="28" t="s">
        <v>175</v>
      </c>
      <c r="E71" s="28" t="s">
        <v>176</v>
      </c>
      <c r="F71" s="28" t="s">
        <v>127</v>
      </c>
      <c r="G71" s="28" t="s">
        <v>249</v>
      </c>
      <c r="H71" s="28"/>
      <c r="I71" s="28" t="s">
        <v>124</v>
      </c>
      <c r="J71" s="28"/>
      <c r="K71" s="29">
        <v>46085.752233796295</v>
      </c>
      <c r="L71" s="29">
        <v>46085.5625</v>
      </c>
      <c r="M71" s="29">
        <v>46085.708333333336</v>
      </c>
      <c r="N71" s="29">
        <v>46085.75240740741</v>
      </c>
      <c r="O71" s="29">
        <v>46085.752546296295</v>
      </c>
      <c r="P71" s="28" t="s">
        <v>177</v>
      </c>
      <c r="Q71" s="28" t="s">
        <v>33</v>
      </c>
      <c r="R71" s="28" t="s">
        <v>125</v>
      </c>
      <c r="S71" s="28" t="s">
        <v>249</v>
      </c>
      <c r="T71" s="28" t="s">
        <v>178</v>
      </c>
      <c r="U71" s="28"/>
      <c r="V71" s="28"/>
      <c r="W71" s="28"/>
      <c r="X71" s="28"/>
      <c r="Y71" s="30">
        <v>0</v>
      </c>
      <c r="Z71" s="28"/>
      <c r="AA71" s="28"/>
      <c r="AB71" s="28" t="s">
        <v>124</v>
      </c>
      <c r="AC71" s="28"/>
      <c r="AD71" s="28"/>
      <c r="AE71" s="28"/>
      <c r="AF71" s="51" t="str">
        <f t="shared" si="1"/>
        <v>marzo</v>
      </c>
    </row>
    <row r="72" spans="1:32" ht="161" x14ac:dyDescent="0.35">
      <c r="A72" s="28" t="s">
        <v>576</v>
      </c>
      <c r="B72" s="28" t="s">
        <v>123</v>
      </c>
      <c r="C72" s="28" t="s">
        <v>577</v>
      </c>
      <c r="D72" s="28" t="s">
        <v>578</v>
      </c>
      <c r="E72" s="28" t="s">
        <v>579</v>
      </c>
      <c r="F72" s="28" t="s">
        <v>255</v>
      </c>
      <c r="G72" s="28" t="s">
        <v>580</v>
      </c>
      <c r="H72" s="28"/>
      <c r="I72" s="28" t="s">
        <v>581</v>
      </c>
      <c r="J72" s="28" t="s">
        <v>582</v>
      </c>
      <c r="K72" s="29">
        <v>46081.78837962963</v>
      </c>
      <c r="L72" s="29">
        <v>46087.375</v>
      </c>
      <c r="M72" s="29">
        <v>46087.520833333336</v>
      </c>
      <c r="N72" s="29">
        <v>46087.454328703701</v>
      </c>
      <c r="O72" s="29">
        <v>46087.619340277779</v>
      </c>
      <c r="P72" s="28" t="s">
        <v>583</v>
      </c>
      <c r="Q72" s="28" t="s">
        <v>376</v>
      </c>
      <c r="R72" s="28" t="s">
        <v>402</v>
      </c>
      <c r="S72" s="28" t="s">
        <v>580</v>
      </c>
      <c r="T72" s="28" t="s">
        <v>584</v>
      </c>
      <c r="U72" s="28"/>
      <c r="V72" s="28"/>
      <c r="W72" s="28"/>
      <c r="X72" s="28"/>
      <c r="Y72" s="30">
        <v>0</v>
      </c>
      <c r="Z72" s="28"/>
      <c r="AA72" s="28"/>
      <c r="AB72" s="28" t="s">
        <v>124</v>
      </c>
      <c r="AC72" s="28" t="s">
        <v>582</v>
      </c>
      <c r="AD72" s="28" t="s">
        <v>585</v>
      </c>
      <c r="AE72" s="28"/>
      <c r="AF72" s="51" t="str">
        <f t="shared" si="1"/>
        <v>marzo</v>
      </c>
    </row>
    <row r="73" spans="1:32" ht="103.5" x14ac:dyDescent="0.35">
      <c r="A73" s="28" t="s">
        <v>307</v>
      </c>
      <c r="B73" s="28" t="s">
        <v>123</v>
      </c>
      <c r="C73" s="28" t="s">
        <v>308</v>
      </c>
      <c r="D73" s="28" t="s">
        <v>254</v>
      </c>
      <c r="E73" s="28" t="s">
        <v>142</v>
      </c>
      <c r="F73" s="28" t="s">
        <v>255</v>
      </c>
      <c r="G73" s="28" t="s">
        <v>68</v>
      </c>
      <c r="H73" s="28"/>
      <c r="I73" s="28" t="s">
        <v>256</v>
      </c>
      <c r="J73" s="28" t="s">
        <v>128</v>
      </c>
      <c r="K73" s="29">
        <v>46088.43041666667</v>
      </c>
      <c r="L73" s="29">
        <v>46088.333333333336</v>
      </c>
      <c r="M73" s="29">
        <v>46088.5</v>
      </c>
      <c r="N73" s="29">
        <v>46088.430787037039</v>
      </c>
      <c r="O73" s="29">
        <v>46088.715115740742</v>
      </c>
      <c r="P73" s="28"/>
      <c r="Q73" s="28" t="s">
        <v>41</v>
      </c>
      <c r="R73" s="28" t="s">
        <v>125</v>
      </c>
      <c r="S73" s="28" t="s">
        <v>68</v>
      </c>
      <c r="T73" s="28" t="s">
        <v>258</v>
      </c>
      <c r="U73" s="28"/>
      <c r="V73" s="28"/>
      <c r="W73" s="28"/>
      <c r="X73" s="28"/>
      <c r="Y73" s="30">
        <v>0</v>
      </c>
      <c r="Z73" s="28"/>
      <c r="AA73" s="28"/>
      <c r="AB73" s="28" t="s">
        <v>259</v>
      </c>
      <c r="AC73" s="28" t="s">
        <v>128</v>
      </c>
      <c r="AD73" s="28" t="s">
        <v>219</v>
      </c>
      <c r="AE73" s="28"/>
      <c r="AF73" s="51" t="str">
        <f t="shared" si="1"/>
        <v>marzo</v>
      </c>
    </row>
    <row r="74" spans="1:32" ht="207" x14ac:dyDescent="0.35">
      <c r="A74" s="28" t="s">
        <v>179</v>
      </c>
      <c r="B74" s="28" t="s">
        <v>123</v>
      </c>
      <c r="C74" s="28" t="s">
        <v>180</v>
      </c>
      <c r="D74" s="28" t="s">
        <v>167</v>
      </c>
      <c r="E74" s="28" t="s">
        <v>168</v>
      </c>
      <c r="F74" s="28" t="s">
        <v>127</v>
      </c>
      <c r="G74" s="28" t="s">
        <v>249</v>
      </c>
      <c r="H74" s="28"/>
      <c r="I74" s="28" t="s">
        <v>124</v>
      </c>
      <c r="J74" s="28"/>
      <c r="K74" s="29">
        <v>46090.393506944441</v>
      </c>
      <c r="L74" s="29">
        <v>46090.416666666664</v>
      </c>
      <c r="M74" s="29">
        <v>46090.583333333336</v>
      </c>
      <c r="N74" s="29">
        <v>46090.520983796298</v>
      </c>
      <c r="O74" s="29">
        <v>46090.59034722222</v>
      </c>
      <c r="P74" s="28" t="s">
        <v>181</v>
      </c>
      <c r="Q74" s="21" t="s">
        <v>33</v>
      </c>
      <c r="R74" s="28" t="s">
        <v>125</v>
      </c>
      <c r="S74" s="28" t="s">
        <v>249</v>
      </c>
      <c r="T74" s="28" t="s">
        <v>169</v>
      </c>
      <c r="U74" s="28"/>
      <c r="V74" s="28"/>
      <c r="W74" s="28"/>
      <c r="X74" s="28"/>
      <c r="Y74" s="30">
        <v>0</v>
      </c>
      <c r="Z74" s="28"/>
      <c r="AA74" s="28"/>
      <c r="AB74" s="28" t="s">
        <v>124</v>
      </c>
      <c r="AC74" s="28"/>
      <c r="AD74" s="28"/>
      <c r="AE74" s="28"/>
      <c r="AF74" s="51" t="str">
        <f t="shared" si="1"/>
        <v>marzo</v>
      </c>
    </row>
    <row r="75" spans="1:32" ht="69" x14ac:dyDescent="0.35">
      <c r="A75" s="28" t="s">
        <v>586</v>
      </c>
      <c r="B75" s="28" t="s">
        <v>123</v>
      </c>
      <c r="C75" s="28" t="s">
        <v>587</v>
      </c>
      <c r="D75" s="28" t="s">
        <v>407</v>
      </c>
      <c r="E75" s="28" t="s">
        <v>223</v>
      </c>
      <c r="F75" s="28" t="s">
        <v>255</v>
      </c>
      <c r="G75" s="28" t="s">
        <v>408</v>
      </c>
      <c r="H75" s="28"/>
      <c r="I75" s="28" t="s">
        <v>409</v>
      </c>
      <c r="J75" s="28" t="s">
        <v>410</v>
      </c>
      <c r="K75" s="29">
        <v>46090.393761574072</v>
      </c>
      <c r="L75" s="29">
        <v>46090.395833333336</v>
      </c>
      <c r="M75" s="29">
        <v>46090.75</v>
      </c>
      <c r="N75" s="29">
        <v>46090.393935185188</v>
      </c>
      <c r="O75" s="29">
        <v>46090.782453703701</v>
      </c>
      <c r="P75" s="28"/>
      <c r="Q75" s="28" t="s">
        <v>411</v>
      </c>
      <c r="R75" s="28" t="s">
        <v>402</v>
      </c>
      <c r="S75" s="28" t="s">
        <v>408</v>
      </c>
      <c r="T75" s="28" t="s">
        <v>588</v>
      </c>
      <c r="U75" s="28"/>
      <c r="V75" s="28"/>
      <c r="W75" s="28"/>
      <c r="X75" s="28"/>
      <c r="Y75" s="30">
        <v>0</v>
      </c>
      <c r="Z75" s="28"/>
      <c r="AA75" s="28"/>
      <c r="AB75" s="28" t="s">
        <v>589</v>
      </c>
      <c r="AC75" s="28" t="s">
        <v>410</v>
      </c>
      <c r="AD75" s="28" t="s">
        <v>413</v>
      </c>
      <c r="AE75" s="28"/>
      <c r="AF75" s="51" t="str">
        <f t="shared" si="1"/>
        <v>marzo</v>
      </c>
    </row>
    <row r="76" spans="1:32" ht="264.5" x14ac:dyDescent="0.35">
      <c r="A76" s="28" t="s">
        <v>182</v>
      </c>
      <c r="B76" s="28" t="s">
        <v>123</v>
      </c>
      <c r="C76" s="28" t="s">
        <v>183</v>
      </c>
      <c r="D76" s="28" t="s">
        <v>184</v>
      </c>
      <c r="E76" s="28" t="s">
        <v>185</v>
      </c>
      <c r="F76" s="28" t="s">
        <v>127</v>
      </c>
      <c r="G76" s="28" t="s">
        <v>249</v>
      </c>
      <c r="H76" s="28"/>
      <c r="I76" s="28" t="s">
        <v>124</v>
      </c>
      <c r="J76" s="28"/>
      <c r="K76" s="29">
        <v>46091.555335648147</v>
      </c>
      <c r="L76" s="29">
        <v>46091.333333333336</v>
      </c>
      <c r="M76" s="29">
        <v>46091.520833333336</v>
      </c>
      <c r="N76" s="29">
        <v>46091.555567129632</v>
      </c>
      <c r="O76" s="29">
        <v>46091.558761574073</v>
      </c>
      <c r="P76" s="28" t="s">
        <v>186</v>
      </c>
      <c r="Q76" s="28" t="s">
        <v>33</v>
      </c>
      <c r="R76" s="28" t="s">
        <v>125</v>
      </c>
      <c r="S76" s="28" t="s">
        <v>249</v>
      </c>
      <c r="T76" s="28" t="s">
        <v>187</v>
      </c>
      <c r="U76" s="28"/>
      <c r="V76" s="28"/>
      <c r="W76" s="28"/>
      <c r="X76" s="28"/>
      <c r="Y76" s="30">
        <v>0</v>
      </c>
      <c r="Z76" s="28"/>
      <c r="AA76" s="28"/>
      <c r="AB76" s="28" t="s">
        <v>124</v>
      </c>
      <c r="AC76" s="28"/>
      <c r="AD76" s="28"/>
      <c r="AE76" s="28"/>
      <c r="AF76" s="51" t="str">
        <f t="shared" si="1"/>
        <v>marzo</v>
      </c>
    </row>
    <row r="77" spans="1:32" ht="115" x14ac:dyDescent="0.35">
      <c r="A77" s="28" t="s">
        <v>188</v>
      </c>
      <c r="B77" s="28" t="s">
        <v>123</v>
      </c>
      <c r="C77" s="28" t="s">
        <v>189</v>
      </c>
      <c r="D77" s="28" t="s">
        <v>184</v>
      </c>
      <c r="E77" s="28" t="s">
        <v>185</v>
      </c>
      <c r="F77" s="28" t="s">
        <v>127</v>
      </c>
      <c r="G77" s="28" t="s">
        <v>249</v>
      </c>
      <c r="H77" s="28"/>
      <c r="I77" s="28" t="s">
        <v>124</v>
      </c>
      <c r="J77" s="28"/>
      <c r="K77" s="29">
        <v>46091.817164351851</v>
      </c>
      <c r="L77" s="29">
        <v>46092.3125</v>
      </c>
      <c r="M77" s="29">
        <v>46092.5625</v>
      </c>
      <c r="N77" s="29">
        <v>46092.334432870368</v>
      </c>
      <c r="O77" s="29">
        <v>46092.564108796294</v>
      </c>
      <c r="P77" s="28" t="s">
        <v>190</v>
      </c>
      <c r="Q77" s="28" t="s">
        <v>33</v>
      </c>
      <c r="R77" s="28" t="s">
        <v>125</v>
      </c>
      <c r="S77" s="28" t="s">
        <v>249</v>
      </c>
      <c r="T77" s="28" t="s">
        <v>187</v>
      </c>
      <c r="U77" s="28"/>
      <c r="V77" s="28"/>
      <c r="W77" s="28"/>
      <c r="X77" s="28"/>
      <c r="Y77" s="30">
        <v>0</v>
      </c>
      <c r="Z77" s="28"/>
      <c r="AA77" s="28"/>
      <c r="AB77" s="28" t="s">
        <v>124</v>
      </c>
      <c r="AC77" s="28"/>
      <c r="AD77" s="28"/>
      <c r="AE77" s="28"/>
      <c r="AF77" s="51" t="str">
        <f t="shared" si="1"/>
        <v>marzo</v>
      </c>
    </row>
    <row r="78" spans="1:32" ht="80.5" x14ac:dyDescent="0.35">
      <c r="A78" s="28" t="s">
        <v>309</v>
      </c>
      <c r="B78" s="28" t="s">
        <v>123</v>
      </c>
      <c r="C78" s="28" t="s">
        <v>310</v>
      </c>
      <c r="D78" s="28" t="s">
        <v>311</v>
      </c>
      <c r="E78" s="28" t="s">
        <v>312</v>
      </c>
      <c r="F78" s="28" t="s">
        <v>255</v>
      </c>
      <c r="G78" s="28" t="s">
        <v>34</v>
      </c>
      <c r="H78" s="28"/>
      <c r="I78" s="28" t="s">
        <v>313</v>
      </c>
      <c r="J78" s="28" t="s">
        <v>128</v>
      </c>
      <c r="K78" s="29">
        <v>46092.747997685183</v>
      </c>
      <c r="L78" s="29">
        <v>46092.333333333336</v>
      </c>
      <c r="M78" s="29">
        <v>46092.75</v>
      </c>
      <c r="N78" s="29">
        <v>46092.748067129629</v>
      </c>
      <c r="O78" s="29">
        <v>46092.748101851852</v>
      </c>
      <c r="P78" s="28"/>
      <c r="Q78" s="28" t="s">
        <v>33</v>
      </c>
      <c r="R78" s="28" t="s">
        <v>125</v>
      </c>
      <c r="S78" s="28" t="s">
        <v>34</v>
      </c>
      <c r="T78" s="28" t="s">
        <v>314</v>
      </c>
      <c r="U78" s="28"/>
      <c r="V78" s="28"/>
      <c r="W78" s="28"/>
      <c r="X78" s="28"/>
      <c r="Y78" s="30">
        <v>0</v>
      </c>
      <c r="Z78" s="28"/>
      <c r="AA78" s="28"/>
      <c r="AB78" s="28" t="s">
        <v>315</v>
      </c>
      <c r="AC78" s="28" t="s">
        <v>128</v>
      </c>
      <c r="AD78" s="28" t="s">
        <v>316</v>
      </c>
      <c r="AE78" s="28"/>
      <c r="AF78" s="51" t="str">
        <f t="shared" si="1"/>
        <v>marzo</v>
      </c>
    </row>
    <row r="79" spans="1:32" ht="46" x14ac:dyDescent="0.35">
      <c r="A79" s="28" t="s">
        <v>939</v>
      </c>
      <c r="B79" s="28" t="s">
        <v>123</v>
      </c>
      <c r="C79" s="28" t="s">
        <v>940</v>
      </c>
      <c r="D79" s="28" t="s">
        <v>941</v>
      </c>
      <c r="E79" s="28" t="s">
        <v>942</v>
      </c>
      <c r="F79" s="28" t="s">
        <v>867</v>
      </c>
      <c r="G79" s="28" t="s">
        <v>408</v>
      </c>
      <c r="H79" s="28"/>
      <c r="I79" s="28" t="s">
        <v>943</v>
      </c>
      <c r="J79" s="28" t="s">
        <v>448</v>
      </c>
      <c r="K79" s="29">
        <v>46092.18377314815</v>
      </c>
      <c r="L79" s="29">
        <v>46093.291666666664</v>
      </c>
      <c r="M79" s="29">
        <v>46093.833333333336</v>
      </c>
      <c r="N79" s="29">
        <v>46093.492754629631</v>
      </c>
      <c r="O79" s="29">
        <v>46094.272083333337</v>
      </c>
      <c r="P79" s="28"/>
      <c r="Q79" s="28" t="s">
        <v>799</v>
      </c>
      <c r="R79" s="28" t="s">
        <v>402</v>
      </c>
      <c r="S79" s="28" t="s">
        <v>408</v>
      </c>
      <c r="T79" s="28" t="s">
        <v>944</v>
      </c>
      <c r="U79" s="28"/>
      <c r="V79" s="28"/>
      <c r="W79" s="28"/>
      <c r="X79" s="28"/>
      <c r="Y79" s="30">
        <v>0</v>
      </c>
      <c r="Z79" s="28"/>
      <c r="AA79" s="28"/>
      <c r="AB79" s="28" t="s">
        <v>945</v>
      </c>
      <c r="AC79" s="28" t="s">
        <v>448</v>
      </c>
      <c r="AD79" s="28" t="s">
        <v>946</v>
      </c>
      <c r="AE79" s="28"/>
      <c r="AF79" s="51" t="str">
        <f t="shared" si="1"/>
        <v>marzo</v>
      </c>
    </row>
    <row r="80" spans="1:32" ht="57.5" x14ac:dyDescent="0.35">
      <c r="A80" s="28" t="s">
        <v>191</v>
      </c>
      <c r="B80" s="28" t="s">
        <v>123</v>
      </c>
      <c r="C80" s="28" t="s">
        <v>192</v>
      </c>
      <c r="D80" s="28" t="s">
        <v>167</v>
      </c>
      <c r="E80" s="28" t="s">
        <v>168</v>
      </c>
      <c r="F80" s="28" t="s">
        <v>127</v>
      </c>
      <c r="G80" s="28" t="s">
        <v>249</v>
      </c>
      <c r="H80" s="28"/>
      <c r="I80" s="28" t="s">
        <v>124</v>
      </c>
      <c r="J80" s="28"/>
      <c r="K80" s="29">
        <v>46094.390752314815</v>
      </c>
      <c r="L80" s="29">
        <v>46094.416666666664</v>
      </c>
      <c r="M80" s="29">
        <v>46094.625</v>
      </c>
      <c r="N80" s="29">
        <v>46094.454606481479</v>
      </c>
      <c r="O80" s="29">
        <v>46094.561585648145</v>
      </c>
      <c r="P80" s="28"/>
      <c r="Q80" s="21" t="s">
        <v>33</v>
      </c>
      <c r="R80" s="28" t="s">
        <v>125</v>
      </c>
      <c r="S80" s="28" t="s">
        <v>249</v>
      </c>
      <c r="T80" s="28" t="s">
        <v>169</v>
      </c>
      <c r="U80" s="28"/>
      <c r="V80" s="28"/>
      <c r="W80" s="28"/>
      <c r="X80" s="28"/>
      <c r="Y80" s="30">
        <v>0</v>
      </c>
      <c r="Z80" s="28"/>
      <c r="AA80" s="28"/>
      <c r="AB80" s="28" t="s">
        <v>124</v>
      </c>
      <c r="AC80" s="28"/>
      <c r="AD80" s="28"/>
      <c r="AE80" s="28"/>
      <c r="AF80" s="51" t="str">
        <f t="shared" si="1"/>
        <v>marzo</v>
      </c>
    </row>
    <row r="81" spans="1:32" ht="46" x14ac:dyDescent="0.35">
      <c r="A81" s="28" t="s">
        <v>947</v>
      </c>
      <c r="B81" s="28" t="s">
        <v>123</v>
      </c>
      <c r="C81" s="28" t="s">
        <v>940</v>
      </c>
      <c r="D81" s="28" t="s">
        <v>941</v>
      </c>
      <c r="E81" s="28" t="s">
        <v>942</v>
      </c>
      <c r="F81" s="28" t="s">
        <v>867</v>
      </c>
      <c r="G81" s="28" t="s">
        <v>408</v>
      </c>
      <c r="H81" s="28"/>
      <c r="I81" s="28" t="s">
        <v>943</v>
      </c>
      <c r="J81" s="28" t="s">
        <v>448</v>
      </c>
      <c r="K81" s="29">
        <v>46092.184606481482</v>
      </c>
      <c r="L81" s="29">
        <v>46094.333333333336</v>
      </c>
      <c r="M81" s="29">
        <v>46094.770833333336</v>
      </c>
      <c r="N81" s="29">
        <v>46094.272326388891</v>
      </c>
      <c r="O81" s="29">
        <v>46094.589629629627</v>
      </c>
      <c r="P81" s="28"/>
      <c r="Q81" s="28" t="s">
        <v>799</v>
      </c>
      <c r="R81" s="28" t="s">
        <v>402</v>
      </c>
      <c r="S81" s="28" t="s">
        <v>408</v>
      </c>
      <c r="T81" s="28" t="s">
        <v>944</v>
      </c>
      <c r="U81" s="28"/>
      <c r="V81" s="28"/>
      <c r="W81" s="28"/>
      <c r="X81" s="28"/>
      <c r="Y81" s="30">
        <v>0</v>
      </c>
      <c r="Z81" s="28"/>
      <c r="AA81" s="28"/>
      <c r="AB81" s="28" t="s">
        <v>945</v>
      </c>
      <c r="AC81" s="28" t="s">
        <v>448</v>
      </c>
      <c r="AD81" s="28" t="s">
        <v>946</v>
      </c>
      <c r="AE81" s="28"/>
      <c r="AF81" s="51" t="str">
        <f t="shared" si="1"/>
        <v>marzo</v>
      </c>
    </row>
    <row r="82" spans="1:32" ht="103.5" x14ac:dyDescent="0.35">
      <c r="A82" s="28" t="s">
        <v>948</v>
      </c>
      <c r="B82" s="28" t="s">
        <v>123</v>
      </c>
      <c r="C82" s="28" t="s">
        <v>949</v>
      </c>
      <c r="D82" s="28" t="s">
        <v>286</v>
      </c>
      <c r="E82" s="28" t="s">
        <v>287</v>
      </c>
      <c r="F82" s="28" t="s">
        <v>867</v>
      </c>
      <c r="G82" s="28" t="s">
        <v>64</v>
      </c>
      <c r="H82" s="28"/>
      <c r="I82" s="28" t="s">
        <v>288</v>
      </c>
      <c r="J82" s="28" t="s">
        <v>128</v>
      </c>
      <c r="K82" s="29">
        <v>46094.321585648147</v>
      </c>
      <c r="L82" s="29">
        <v>46094.583333333336</v>
      </c>
      <c r="M82" s="29">
        <v>46094.666666666664</v>
      </c>
      <c r="N82" s="29">
        <v>46094.585902777777</v>
      </c>
      <c r="O82" s="29">
        <v>46094.670983796299</v>
      </c>
      <c r="P82" s="28"/>
      <c r="Q82" s="28" t="s">
        <v>43</v>
      </c>
      <c r="R82" s="28" t="s">
        <v>125</v>
      </c>
      <c r="S82" s="28" t="s">
        <v>64</v>
      </c>
      <c r="T82" s="28" t="s">
        <v>289</v>
      </c>
      <c r="U82" s="28"/>
      <c r="V82" s="28"/>
      <c r="W82" s="28"/>
      <c r="X82" s="28"/>
      <c r="Y82" s="30">
        <v>0</v>
      </c>
      <c r="Z82" s="28"/>
      <c r="AA82" s="28"/>
      <c r="AB82" s="28" t="s">
        <v>290</v>
      </c>
      <c r="AC82" s="28" t="s">
        <v>128</v>
      </c>
      <c r="AD82" s="28" t="s">
        <v>291</v>
      </c>
      <c r="AE82" s="28"/>
      <c r="AF82" s="51" t="str">
        <f t="shared" si="1"/>
        <v>marzo</v>
      </c>
    </row>
    <row r="83" spans="1:32" ht="115" x14ac:dyDescent="0.35">
      <c r="A83" s="28" t="s">
        <v>590</v>
      </c>
      <c r="B83" s="28" t="s">
        <v>123</v>
      </c>
      <c r="C83" s="28" t="s">
        <v>591</v>
      </c>
      <c r="D83" s="28" t="s">
        <v>492</v>
      </c>
      <c r="E83" s="28" t="s">
        <v>193</v>
      </c>
      <c r="F83" s="28" t="s">
        <v>127</v>
      </c>
      <c r="G83" s="28" t="s">
        <v>493</v>
      </c>
      <c r="H83" s="28"/>
      <c r="I83" s="28" t="s">
        <v>494</v>
      </c>
      <c r="J83" s="28" t="s">
        <v>410</v>
      </c>
      <c r="K83" s="29">
        <v>46090.197071759256</v>
      </c>
      <c r="L83" s="29">
        <v>46094.375</v>
      </c>
      <c r="M83" s="29">
        <v>46094.5</v>
      </c>
      <c r="N83" s="29">
        <v>46094.534444444442</v>
      </c>
      <c r="O83" s="29">
        <v>46094.878750000003</v>
      </c>
      <c r="P83" s="28"/>
      <c r="Q83" s="28" t="s">
        <v>194</v>
      </c>
      <c r="R83" s="28" t="s">
        <v>402</v>
      </c>
      <c r="S83" s="28" t="s">
        <v>493</v>
      </c>
      <c r="T83" s="28" t="s">
        <v>495</v>
      </c>
      <c r="U83" s="28"/>
      <c r="V83" s="28"/>
      <c r="W83" s="28"/>
      <c r="X83" s="28"/>
      <c r="Y83" s="30">
        <v>0</v>
      </c>
      <c r="Z83" s="28"/>
      <c r="AA83" s="28"/>
      <c r="AB83" s="28" t="s">
        <v>496</v>
      </c>
      <c r="AC83" s="28" t="s">
        <v>410</v>
      </c>
      <c r="AD83" s="28" t="s">
        <v>497</v>
      </c>
      <c r="AE83" s="28"/>
      <c r="AF83" s="51" t="str">
        <f t="shared" si="1"/>
        <v>marzo</v>
      </c>
    </row>
    <row r="84" spans="1:32" ht="241.5" x14ac:dyDescent="0.35">
      <c r="A84" s="28" t="s">
        <v>195</v>
      </c>
      <c r="B84" s="28" t="s">
        <v>123</v>
      </c>
      <c r="C84" s="28" t="s">
        <v>196</v>
      </c>
      <c r="D84" s="28" t="s">
        <v>167</v>
      </c>
      <c r="E84" s="28" t="s">
        <v>168</v>
      </c>
      <c r="F84" s="28" t="s">
        <v>127</v>
      </c>
      <c r="G84" s="28" t="s">
        <v>249</v>
      </c>
      <c r="H84" s="28"/>
      <c r="I84" s="28" t="s">
        <v>124</v>
      </c>
      <c r="J84" s="28"/>
      <c r="K84" s="29">
        <v>46095.359837962962</v>
      </c>
      <c r="L84" s="29">
        <v>46095.291666666664</v>
      </c>
      <c r="M84" s="29">
        <v>46095.520833333336</v>
      </c>
      <c r="N84" s="29">
        <v>46095.359976851854</v>
      </c>
      <c r="O84" s="29">
        <v>46095.507615740738</v>
      </c>
      <c r="P84" s="28" t="s">
        <v>197</v>
      </c>
      <c r="Q84" s="28" t="s">
        <v>33</v>
      </c>
      <c r="R84" s="28" t="s">
        <v>125</v>
      </c>
      <c r="S84" s="28" t="s">
        <v>249</v>
      </c>
      <c r="T84" s="28" t="s">
        <v>169</v>
      </c>
      <c r="U84" s="28"/>
      <c r="V84" s="28"/>
      <c r="W84" s="28"/>
      <c r="X84" s="28"/>
      <c r="Y84" s="30">
        <v>0</v>
      </c>
      <c r="Z84" s="28"/>
      <c r="AA84" s="28"/>
      <c r="AB84" s="28" t="s">
        <v>124</v>
      </c>
      <c r="AC84" s="28"/>
      <c r="AD84" s="28"/>
      <c r="AE84" s="28"/>
      <c r="AF84" s="51" t="str">
        <f t="shared" si="1"/>
        <v>marzo</v>
      </c>
    </row>
    <row r="85" spans="1:32" ht="57.5" x14ac:dyDescent="0.35">
      <c r="A85" s="28" t="s">
        <v>198</v>
      </c>
      <c r="B85" s="28" t="s">
        <v>123</v>
      </c>
      <c r="C85" s="28" t="s">
        <v>199</v>
      </c>
      <c r="D85" s="28" t="s">
        <v>167</v>
      </c>
      <c r="E85" s="28" t="s">
        <v>168</v>
      </c>
      <c r="F85" s="28" t="s">
        <v>127</v>
      </c>
      <c r="G85" s="28" t="s">
        <v>249</v>
      </c>
      <c r="H85" s="28"/>
      <c r="I85" s="28" t="s">
        <v>124</v>
      </c>
      <c r="J85" s="28"/>
      <c r="K85" s="29">
        <v>46097.359942129631</v>
      </c>
      <c r="L85" s="29">
        <v>46097.333333333336</v>
      </c>
      <c r="M85" s="29">
        <v>46097.583333333336</v>
      </c>
      <c r="N85" s="29">
        <v>46097.360138888886</v>
      </c>
      <c r="O85" s="29">
        <v>46097.586493055554</v>
      </c>
      <c r="P85" s="28"/>
      <c r="Q85" s="28" t="s">
        <v>33</v>
      </c>
      <c r="R85" s="28" t="s">
        <v>125</v>
      </c>
      <c r="S85" s="28" t="s">
        <v>249</v>
      </c>
      <c r="T85" s="28" t="s">
        <v>169</v>
      </c>
      <c r="U85" s="28"/>
      <c r="V85" s="28"/>
      <c r="W85" s="28"/>
      <c r="X85" s="28"/>
      <c r="Y85" s="30">
        <v>0</v>
      </c>
      <c r="Z85" s="28"/>
      <c r="AA85" s="28"/>
      <c r="AB85" s="28" t="s">
        <v>124</v>
      </c>
      <c r="AC85" s="28"/>
      <c r="AD85" s="28"/>
      <c r="AE85" s="28"/>
      <c r="AF85" s="51" t="str">
        <f t="shared" si="1"/>
        <v>marzo</v>
      </c>
    </row>
    <row r="86" spans="1:32" ht="80.5" x14ac:dyDescent="0.35">
      <c r="A86" s="28" t="s">
        <v>592</v>
      </c>
      <c r="B86" s="28" t="s">
        <v>123</v>
      </c>
      <c r="C86" s="28" t="s">
        <v>593</v>
      </c>
      <c r="D86" s="28" t="s">
        <v>594</v>
      </c>
      <c r="E86" s="28" t="s">
        <v>377</v>
      </c>
      <c r="F86" s="28" t="s">
        <v>255</v>
      </c>
      <c r="G86" s="28" t="s">
        <v>408</v>
      </c>
      <c r="H86" s="28"/>
      <c r="I86" s="28" t="s">
        <v>595</v>
      </c>
      <c r="J86" s="28" t="s">
        <v>378</v>
      </c>
      <c r="K86" s="29">
        <v>46097.461087962962</v>
      </c>
      <c r="L86" s="29">
        <v>46097.479166666664</v>
      </c>
      <c r="M86" s="29">
        <v>46097.770833333336</v>
      </c>
      <c r="N86" s="29">
        <v>46097.461273148147</v>
      </c>
      <c r="O86" s="29">
        <v>46097.795891203707</v>
      </c>
      <c r="P86" s="28"/>
      <c r="Q86" s="28" t="s">
        <v>596</v>
      </c>
      <c r="R86" s="28" t="s">
        <v>402</v>
      </c>
      <c r="S86" s="28" t="s">
        <v>408</v>
      </c>
      <c r="T86" s="28" t="s">
        <v>597</v>
      </c>
      <c r="U86" s="28"/>
      <c r="V86" s="28"/>
      <c r="W86" s="28"/>
      <c r="X86" s="28"/>
      <c r="Y86" s="30">
        <v>0</v>
      </c>
      <c r="Z86" s="28"/>
      <c r="AA86" s="28"/>
      <c r="AB86" s="28" t="s">
        <v>598</v>
      </c>
      <c r="AC86" s="28" t="s">
        <v>378</v>
      </c>
      <c r="AD86" s="28" t="s">
        <v>599</v>
      </c>
      <c r="AE86" s="28"/>
      <c r="AF86" s="28" t="str">
        <f>TEXT(L86,"mmmm")</f>
        <v>marzo</v>
      </c>
    </row>
    <row r="87" spans="1:32" ht="115" x14ac:dyDescent="0.35">
      <c r="A87" s="28" t="s">
        <v>200</v>
      </c>
      <c r="B87" s="28" t="s">
        <v>123</v>
      </c>
      <c r="C87" s="28" t="s">
        <v>201</v>
      </c>
      <c r="D87" s="28" t="s">
        <v>175</v>
      </c>
      <c r="E87" s="28" t="s">
        <v>176</v>
      </c>
      <c r="F87" s="28" t="s">
        <v>127</v>
      </c>
      <c r="G87" s="28" t="s">
        <v>249</v>
      </c>
      <c r="H87" s="28"/>
      <c r="I87" s="28" t="s">
        <v>124</v>
      </c>
      <c r="J87" s="28"/>
      <c r="K87" s="29">
        <v>46098.360856481479</v>
      </c>
      <c r="L87" s="29">
        <v>46098.333333333336</v>
      </c>
      <c r="M87" s="29">
        <v>46098.666666666664</v>
      </c>
      <c r="N87" s="29">
        <v>46098.360995370371</v>
      </c>
      <c r="O87" s="29">
        <v>46098.688993055555</v>
      </c>
      <c r="P87" s="28" t="s">
        <v>202</v>
      </c>
      <c r="Q87" s="28" t="s">
        <v>33</v>
      </c>
      <c r="R87" s="28" t="s">
        <v>125</v>
      </c>
      <c r="S87" s="28" t="s">
        <v>249</v>
      </c>
      <c r="T87" s="28" t="s">
        <v>178</v>
      </c>
      <c r="U87" s="28"/>
      <c r="V87" s="28"/>
      <c r="W87" s="28"/>
      <c r="X87" s="28"/>
      <c r="Y87" s="30">
        <v>0</v>
      </c>
      <c r="Z87" s="28"/>
      <c r="AA87" s="28"/>
      <c r="AB87" s="28" t="s">
        <v>124</v>
      </c>
      <c r="AC87" s="28"/>
      <c r="AD87" s="28"/>
      <c r="AE87" s="28"/>
      <c r="AF87" s="28" t="str">
        <f t="shared" ref="AF87:AF147" si="2">TEXT(L87,"mmmm")</f>
        <v>marzo</v>
      </c>
    </row>
    <row r="88" spans="1:32" ht="80.5" x14ac:dyDescent="0.35">
      <c r="A88" s="28" t="s">
        <v>600</v>
      </c>
      <c r="B88" s="28" t="s">
        <v>123</v>
      </c>
      <c r="C88" s="28" t="s">
        <v>601</v>
      </c>
      <c r="D88" s="28" t="s">
        <v>594</v>
      </c>
      <c r="E88" s="28" t="s">
        <v>377</v>
      </c>
      <c r="F88" s="28" t="s">
        <v>255</v>
      </c>
      <c r="G88" s="28" t="s">
        <v>408</v>
      </c>
      <c r="H88" s="28"/>
      <c r="I88" s="28" t="s">
        <v>595</v>
      </c>
      <c r="J88" s="28" t="s">
        <v>378</v>
      </c>
      <c r="K88" s="29">
        <v>46097.462997685187</v>
      </c>
      <c r="L88" s="29">
        <v>46098.291666666664</v>
      </c>
      <c r="M88" s="29">
        <v>46098.854166666664</v>
      </c>
      <c r="N88" s="29">
        <v>46098.328148148146</v>
      </c>
      <c r="O88" s="29">
        <v>46098.834699074076</v>
      </c>
      <c r="P88" s="28"/>
      <c r="Q88" s="28" t="s">
        <v>596</v>
      </c>
      <c r="R88" s="28" t="s">
        <v>402</v>
      </c>
      <c r="S88" s="28" t="s">
        <v>408</v>
      </c>
      <c r="T88" s="28" t="s">
        <v>597</v>
      </c>
      <c r="U88" s="28"/>
      <c r="V88" s="28"/>
      <c r="W88" s="28"/>
      <c r="X88" s="28"/>
      <c r="Y88" s="30">
        <v>0</v>
      </c>
      <c r="Z88" s="28"/>
      <c r="AA88" s="28"/>
      <c r="AB88" s="28" t="s">
        <v>598</v>
      </c>
      <c r="AC88" s="28" t="s">
        <v>378</v>
      </c>
      <c r="AD88" s="28" t="s">
        <v>599</v>
      </c>
      <c r="AE88" s="28"/>
      <c r="AF88" s="28" t="str">
        <f t="shared" si="2"/>
        <v>marzo</v>
      </c>
    </row>
    <row r="89" spans="1:32" ht="92" x14ac:dyDescent="0.35">
      <c r="A89" s="28" t="s">
        <v>950</v>
      </c>
      <c r="B89" s="28" t="s">
        <v>123</v>
      </c>
      <c r="C89" s="28" t="s">
        <v>951</v>
      </c>
      <c r="D89" s="28" t="s">
        <v>422</v>
      </c>
      <c r="E89" s="28" t="s">
        <v>130</v>
      </c>
      <c r="F89" s="28" t="s">
        <v>867</v>
      </c>
      <c r="G89" s="28" t="s">
        <v>423</v>
      </c>
      <c r="H89" s="28"/>
      <c r="I89" s="28" t="s">
        <v>424</v>
      </c>
      <c r="J89" s="28" t="s">
        <v>425</v>
      </c>
      <c r="K89" s="29">
        <v>46099.393437500003</v>
      </c>
      <c r="L89" s="29">
        <v>46099.395833333336</v>
      </c>
      <c r="M89" s="29">
        <v>46099.458333333336</v>
      </c>
      <c r="N89" s="29">
        <v>46099.393576388888</v>
      </c>
      <c r="O89" s="29">
        <v>46099.459317129629</v>
      </c>
      <c r="P89" s="28"/>
      <c r="Q89" s="28" t="s">
        <v>131</v>
      </c>
      <c r="R89" s="28" t="s">
        <v>402</v>
      </c>
      <c r="S89" s="28" t="s">
        <v>423</v>
      </c>
      <c r="T89" s="28" t="s">
        <v>671</v>
      </c>
      <c r="U89" s="28"/>
      <c r="V89" s="28"/>
      <c r="W89" s="28"/>
      <c r="X89" s="28"/>
      <c r="Y89" s="30">
        <v>0</v>
      </c>
      <c r="Z89" s="28"/>
      <c r="AA89" s="28"/>
      <c r="AB89" s="28" t="s">
        <v>672</v>
      </c>
      <c r="AC89" s="28" t="s">
        <v>425</v>
      </c>
      <c r="AD89" s="28" t="s">
        <v>427</v>
      </c>
      <c r="AE89" s="28"/>
      <c r="AF89" s="28" t="str">
        <f t="shared" si="2"/>
        <v>marzo</v>
      </c>
    </row>
    <row r="90" spans="1:32" ht="80.5" x14ac:dyDescent="0.35">
      <c r="A90" s="28" t="s">
        <v>203</v>
      </c>
      <c r="B90" s="28" t="s">
        <v>123</v>
      </c>
      <c r="C90" s="28" t="s">
        <v>204</v>
      </c>
      <c r="D90" s="28" t="s">
        <v>167</v>
      </c>
      <c r="E90" s="28" t="s">
        <v>168</v>
      </c>
      <c r="F90" s="28" t="s">
        <v>127</v>
      </c>
      <c r="G90" s="28" t="s">
        <v>249</v>
      </c>
      <c r="H90" s="28"/>
      <c r="I90" s="28" t="s">
        <v>124</v>
      </c>
      <c r="J90" s="28"/>
      <c r="K90" s="29">
        <v>46099.319814814815</v>
      </c>
      <c r="L90" s="29">
        <v>46099.3125</v>
      </c>
      <c r="M90" s="29">
        <v>46099.520833333336</v>
      </c>
      <c r="N90" s="29">
        <v>46099.320196759261</v>
      </c>
      <c r="O90" s="29">
        <v>46099.504953703705</v>
      </c>
      <c r="P90" s="28" t="s">
        <v>205</v>
      </c>
      <c r="Q90" s="28" t="s">
        <v>33</v>
      </c>
      <c r="R90" s="28" t="s">
        <v>125</v>
      </c>
      <c r="S90" s="28" t="s">
        <v>249</v>
      </c>
      <c r="T90" s="28" t="s">
        <v>169</v>
      </c>
      <c r="U90" s="28"/>
      <c r="V90" s="28"/>
      <c r="W90" s="28"/>
      <c r="X90" s="28"/>
      <c r="Y90" s="30">
        <v>0</v>
      </c>
      <c r="Z90" s="28"/>
      <c r="AA90" s="28"/>
      <c r="AB90" s="28" t="s">
        <v>124</v>
      </c>
      <c r="AC90" s="28"/>
      <c r="AD90" s="28"/>
      <c r="AE90" s="28"/>
      <c r="AF90" s="28" t="str">
        <f t="shared" si="2"/>
        <v>marzo</v>
      </c>
    </row>
    <row r="91" spans="1:32" ht="126.5" x14ac:dyDescent="0.35">
      <c r="A91" s="28" t="s">
        <v>317</v>
      </c>
      <c r="B91" s="28" t="s">
        <v>123</v>
      </c>
      <c r="C91" s="28" t="s">
        <v>318</v>
      </c>
      <c r="D91" s="28" t="s">
        <v>319</v>
      </c>
      <c r="E91" s="28" t="s">
        <v>320</v>
      </c>
      <c r="F91" s="28" t="s">
        <v>255</v>
      </c>
      <c r="G91" s="28" t="s">
        <v>64</v>
      </c>
      <c r="H91" s="28"/>
      <c r="I91" s="28" t="s">
        <v>321</v>
      </c>
      <c r="J91" s="28" t="s">
        <v>128</v>
      </c>
      <c r="K91" s="29">
        <v>46099.330243055556</v>
      </c>
      <c r="L91" s="29">
        <v>46099.270833333336</v>
      </c>
      <c r="M91" s="29">
        <v>46099.708333333336</v>
      </c>
      <c r="N91" s="29">
        <v>46099.330393518518</v>
      </c>
      <c r="O91" s="29">
        <v>46099.655092592591</v>
      </c>
      <c r="P91" s="28"/>
      <c r="Q91" s="28" t="s">
        <v>43</v>
      </c>
      <c r="R91" s="28" t="s">
        <v>125</v>
      </c>
      <c r="S91" s="28" t="s">
        <v>64</v>
      </c>
      <c r="T91" s="28" t="s">
        <v>322</v>
      </c>
      <c r="U91" s="28"/>
      <c r="V91" s="28"/>
      <c r="W91" s="28"/>
      <c r="X91" s="28"/>
      <c r="Y91" s="30">
        <v>0</v>
      </c>
      <c r="Z91" s="28"/>
      <c r="AA91" s="28"/>
      <c r="AB91" s="28" t="s">
        <v>323</v>
      </c>
      <c r="AC91" s="28" t="s">
        <v>128</v>
      </c>
      <c r="AD91" s="28" t="s">
        <v>291</v>
      </c>
      <c r="AE91" s="28"/>
      <c r="AF91" s="28" t="str">
        <f t="shared" si="2"/>
        <v>marzo</v>
      </c>
    </row>
    <row r="92" spans="1:32" ht="80.5" x14ac:dyDescent="0.35">
      <c r="A92" s="28" t="s">
        <v>602</v>
      </c>
      <c r="B92" s="28" t="s">
        <v>123</v>
      </c>
      <c r="C92" s="28" t="s">
        <v>603</v>
      </c>
      <c r="D92" s="28" t="s">
        <v>594</v>
      </c>
      <c r="E92" s="28" t="s">
        <v>377</v>
      </c>
      <c r="F92" s="28" t="s">
        <v>255</v>
      </c>
      <c r="G92" s="28" t="s">
        <v>408</v>
      </c>
      <c r="H92" s="28"/>
      <c r="I92" s="28" t="s">
        <v>595</v>
      </c>
      <c r="J92" s="28" t="s">
        <v>378</v>
      </c>
      <c r="K92" s="29">
        <v>46097.4684837963</v>
      </c>
      <c r="L92" s="29">
        <v>46099.25</v>
      </c>
      <c r="M92" s="29">
        <v>46099.833333333336</v>
      </c>
      <c r="N92" s="29">
        <v>46099.342395833337</v>
      </c>
      <c r="O92" s="29">
        <v>46099.824097222219</v>
      </c>
      <c r="P92" s="28"/>
      <c r="Q92" s="28" t="s">
        <v>596</v>
      </c>
      <c r="R92" s="28" t="s">
        <v>402</v>
      </c>
      <c r="S92" s="28" t="s">
        <v>408</v>
      </c>
      <c r="T92" s="28" t="s">
        <v>597</v>
      </c>
      <c r="U92" s="28"/>
      <c r="V92" s="28"/>
      <c r="W92" s="28"/>
      <c r="X92" s="28"/>
      <c r="Y92" s="30">
        <v>0</v>
      </c>
      <c r="Z92" s="28"/>
      <c r="AA92" s="28"/>
      <c r="AB92" s="28" t="s">
        <v>598</v>
      </c>
      <c r="AC92" s="28" t="s">
        <v>378</v>
      </c>
      <c r="AD92" s="28" t="s">
        <v>599</v>
      </c>
      <c r="AE92" s="28"/>
      <c r="AF92" s="28" t="str">
        <f t="shared" si="2"/>
        <v>marzo</v>
      </c>
    </row>
    <row r="93" spans="1:32" ht="115" x14ac:dyDescent="0.35">
      <c r="A93" s="28" t="s">
        <v>952</v>
      </c>
      <c r="B93" s="28" t="s">
        <v>123</v>
      </c>
      <c r="C93" s="28" t="s">
        <v>953</v>
      </c>
      <c r="D93" s="28" t="s">
        <v>954</v>
      </c>
      <c r="E93" s="28" t="s">
        <v>955</v>
      </c>
      <c r="F93" s="28" t="s">
        <v>867</v>
      </c>
      <c r="G93" s="28" t="s">
        <v>64</v>
      </c>
      <c r="H93" s="28"/>
      <c r="I93" s="28" t="s">
        <v>956</v>
      </c>
      <c r="J93" s="28" t="s">
        <v>128</v>
      </c>
      <c r="K93" s="29">
        <v>46100.57099537037</v>
      </c>
      <c r="L93" s="29">
        <v>46100.5625</v>
      </c>
      <c r="M93" s="29">
        <v>46100.583333333336</v>
      </c>
      <c r="N93" s="29">
        <v>46100.571215277778</v>
      </c>
      <c r="O93" s="29">
        <v>46100.589131944442</v>
      </c>
      <c r="P93" s="28"/>
      <c r="Q93" s="28" t="s">
        <v>43</v>
      </c>
      <c r="R93" s="28" t="s">
        <v>125</v>
      </c>
      <c r="S93" s="28" t="s">
        <v>64</v>
      </c>
      <c r="T93" s="28" t="s">
        <v>957</v>
      </c>
      <c r="U93" s="28"/>
      <c r="V93" s="28"/>
      <c r="W93" s="28"/>
      <c r="X93" s="28"/>
      <c r="Y93" s="30">
        <v>0</v>
      </c>
      <c r="Z93" s="28"/>
      <c r="AA93" s="28"/>
      <c r="AB93" s="28" t="s">
        <v>958</v>
      </c>
      <c r="AC93" s="28" t="s">
        <v>128</v>
      </c>
      <c r="AD93" s="28" t="s">
        <v>324</v>
      </c>
      <c r="AE93" s="28"/>
      <c r="AF93" s="28" t="str">
        <f t="shared" si="2"/>
        <v>marzo</v>
      </c>
    </row>
    <row r="94" spans="1:32" ht="80.5" x14ac:dyDescent="0.35">
      <c r="A94" s="28" t="s">
        <v>604</v>
      </c>
      <c r="B94" s="28" t="s">
        <v>123</v>
      </c>
      <c r="C94" s="28" t="s">
        <v>605</v>
      </c>
      <c r="D94" s="28" t="s">
        <v>594</v>
      </c>
      <c r="E94" s="28" t="s">
        <v>377</v>
      </c>
      <c r="F94" s="28" t="s">
        <v>255</v>
      </c>
      <c r="G94" s="28" t="s">
        <v>408</v>
      </c>
      <c r="H94" s="28"/>
      <c r="I94" s="28" t="s">
        <v>595</v>
      </c>
      <c r="J94" s="28" t="s">
        <v>378</v>
      </c>
      <c r="K94" s="29">
        <v>46097.467534722222</v>
      </c>
      <c r="L94" s="29">
        <v>46100.25</v>
      </c>
      <c r="M94" s="29">
        <v>46100.833333333336</v>
      </c>
      <c r="N94" s="29">
        <v>46100.217534722222</v>
      </c>
      <c r="O94" s="29">
        <v>46100.760682870372</v>
      </c>
      <c r="P94" s="28"/>
      <c r="Q94" s="28" t="s">
        <v>596</v>
      </c>
      <c r="R94" s="28" t="s">
        <v>402</v>
      </c>
      <c r="S94" s="28" t="s">
        <v>408</v>
      </c>
      <c r="T94" s="28" t="s">
        <v>597</v>
      </c>
      <c r="U94" s="28"/>
      <c r="V94" s="28"/>
      <c r="W94" s="28"/>
      <c r="X94" s="28"/>
      <c r="Y94" s="30">
        <v>0</v>
      </c>
      <c r="Z94" s="28"/>
      <c r="AA94" s="28"/>
      <c r="AB94" s="28" t="s">
        <v>598</v>
      </c>
      <c r="AC94" s="28" t="s">
        <v>378</v>
      </c>
      <c r="AD94" s="28" t="s">
        <v>599</v>
      </c>
      <c r="AE94" s="28"/>
      <c r="AF94" s="28" t="str">
        <f t="shared" si="2"/>
        <v>marzo</v>
      </c>
    </row>
    <row r="95" spans="1:32" ht="115" x14ac:dyDescent="0.35">
      <c r="A95" s="28" t="s">
        <v>325</v>
      </c>
      <c r="B95" s="28" t="s">
        <v>123</v>
      </c>
      <c r="C95" s="28" t="s">
        <v>326</v>
      </c>
      <c r="D95" s="28" t="s">
        <v>327</v>
      </c>
      <c r="E95" s="28" t="s">
        <v>328</v>
      </c>
      <c r="F95" s="28" t="s">
        <v>255</v>
      </c>
      <c r="G95" s="28" t="s">
        <v>42</v>
      </c>
      <c r="H95" s="28"/>
      <c r="I95" s="28" t="s">
        <v>329</v>
      </c>
      <c r="J95" s="28" t="s">
        <v>128</v>
      </c>
      <c r="K95" s="29">
        <v>46095.422164351854</v>
      </c>
      <c r="L95" s="29">
        <v>46100.333333333336</v>
      </c>
      <c r="M95" s="29">
        <v>46100.583333333336</v>
      </c>
      <c r="N95" s="29">
        <v>46100.418599537035</v>
      </c>
      <c r="O95" s="29">
        <v>46100.763194444444</v>
      </c>
      <c r="P95" s="28"/>
      <c r="Q95" s="28" t="s">
        <v>41</v>
      </c>
      <c r="R95" s="28" t="s">
        <v>125</v>
      </c>
      <c r="S95" s="28" t="s">
        <v>42</v>
      </c>
      <c r="T95" s="28" t="s">
        <v>330</v>
      </c>
      <c r="U95" s="28"/>
      <c r="V95" s="28"/>
      <c r="W95" s="28"/>
      <c r="X95" s="28"/>
      <c r="Y95" s="30">
        <v>0</v>
      </c>
      <c r="Z95" s="28"/>
      <c r="AA95" s="28"/>
      <c r="AB95" s="28" t="s">
        <v>331</v>
      </c>
      <c r="AC95" s="28" t="s">
        <v>128</v>
      </c>
      <c r="AD95" s="28" t="s">
        <v>332</v>
      </c>
      <c r="AE95" s="28"/>
      <c r="AF95" s="28" t="str">
        <f t="shared" si="2"/>
        <v>marzo</v>
      </c>
    </row>
    <row r="96" spans="1:32" ht="138" x14ac:dyDescent="0.35">
      <c r="A96" s="28" t="s">
        <v>333</v>
      </c>
      <c r="B96" s="28" t="s">
        <v>123</v>
      </c>
      <c r="C96" s="28" t="s">
        <v>334</v>
      </c>
      <c r="D96" s="28" t="s">
        <v>335</v>
      </c>
      <c r="E96" s="28" t="s">
        <v>336</v>
      </c>
      <c r="F96" s="28" t="s">
        <v>255</v>
      </c>
      <c r="G96" s="28" t="s">
        <v>68</v>
      </c>
      <c r="H96" s="28"/>
      <c r="I96" s="28" t="s">
        <v>337</v>
      </c>
      <c r="J96" s="28" t="s">
        <v>128</v>
      </c>
      <c r="K96" s="29">
        <v>46093.914039351854</v>
      </c>
      <c r="L96" s="29">
        <v>46100.708333333336</v>
      </c>
      <c r="M96" s="29">
        <v>46100.8125</v>
      </c>
      <c r="N96" s="29">
        <v>46101.497407407405</v>
      </c>
      <c r="O96" s="29">
        <v>46101.497488425928</v>
      </c>
      <c r="P96" s="28"/>
      <c r="Q96" s="28" t="s">
        <v>41</v>
      </c>
      <c r="R96" s="28" t="s">
        <v>125</v>
      </c>
      <c r="S96" s="28" t="s">
        <v>68</v>
      </c>
      <c r="T96" s="28" t="s">
        <v>338</v>
      </c>
      <c r="U96" s="28"/>
      <c r="V96" s="28"/>
      <c r="W96" s="28"/>
      <c r="X96" s="28"/>
      <c r="Y96" s="30">
        <v>0</v>
      </c>
      <c r="Z96" s="28"/>
      <c r="AA96" s="28"/>
      <c r="AB96" s="28" t="s">
        <v>339</v>
      </c>
      <c r="AC96" s="28" t="s">
        <v>128</v>
      </c>
      <c r="AD96" s="28" t="s">
        <v>143</v>
      </c>
      <c r="AE96" s="28"/>
      <c r="AF96" s="28" t="str">
        <f t="shared" si="2"/>
        <v>marzo</v>
      </c>
    </row>
    <row r="97" spans="1:32" ht="126.5" x14ac:dyDescent="0.35">
      <c r="A97" s="28" t="s">
        <v>959</v>
      </c>
      <c r="B97" s="28" t="s">
        <v>123</v>
      </c>
      <c r="C97" s="28" t="s">
        <v>960</v>
      </c>
      <c r="D97" s="28" t="s">
        <v>539</v>
      </c>
      <c r="E97" s="28" t="s">
        <v>540</v>
      </c>
      <c r="F97" s="28" t="s">
        <v>867</v>
      </c>
      <c r="G97" s="28" t="s">
        <v>541</v>
      </c>
      <c r="H97" s="28"/>
      <c r="I97" s="28" t="s">
        <v>542</v>
      </c>
      <c r="J97" s="28" t="s">
        <v>128</v>
      </c>
      <c r="K97" s="29">
        <v>46101.472939814812</v>
      </c>
      <c r="L97" s="29">
        <v>46101.479166666664</v>
      </c>
      <c r="M97" s="29">
        <v>46101.520833333336</v>
      </c>
      <c r="N97" s="29">
        <v>46101.473194444443</v>
      </c>
      <c r="O97" s="29">
        <v>46101.561886574076</v>
      </c>
      <c r="P97" s="28"/>
      <c r="Q97" s="28" t="s">
        <v>476</v>
      </c>
      <c r="R97" s="28" t="s">
        <v>125</v>
      </c>
      <c r="S97" s="28" t="s">
        <v>541</v>
      </c>
      <c r="T97" s="28" t="s">
        <v>543</v>
      </c>
      <c r="U97" s="28"/>
      <c r="V97" s="28"/>
      <c r="W97" s="28"/>
      <c r="X97" s="28"/>
      <c r="Y97" s="30">
        <v>0</v>
      </c>
      <c r="Z97" s="28"/>
      <c r="AA97" s="28"/>
      <c r="AB97" s="28" t="s">
        <v>544</v>
      </c>
      <c r="AC97" s="28" t="s">
        <v>128</v>
      </c>
      <c r="AD97" s="28" t="s">
        <v>545</v>
      </c>
      <c r="AE97" s="28"/>
      <c r="AF97" s="28" t="str">
        <f t="shared" si="2"/>
        <v>marzo</v>
      </c>
    </row>
    <row r="98" spans="1:32" ht="103.5" x14ac:dyDescent="0.35">
      <c r="A98" s="28" t="s">
        <v>961</v>
      </c>
      <c r="B98" s="28" t="s">
        <v>123</v>
      </c>
      <c r="C98" s="28" t="s">
        <v>962</v>
      </c>
      <c r="D98" s="28" t="s">
        <v>963</v>
      </c>
      <c r="E98" s="28" t="s">
        <v>377</v>
      </c>
      <c r="F98" s="28" t="s">
        <v>867</v>
      </c>
      <c r="G98" s="28" t="s">
        <v>798</v>
      </c>
      <c r="H98" s="28"/>
      <c r="I98" s="28" t="s">
        <v>964</v>
      </c>
      <c r="J98" s="28" t="s">
        <v>378</v>
      </c>
      <c r="K98" s="29">
        <v>46101.575173611112</v>
      </c>
      <c r="L98" s="29">
        <v>46098.375</v>
      </c>
      <c r="M98" s="29">
        <v>46098.833333333336</v>
      </c>
      <c r="N98" s="29">
        <v>46101.575254629628</v>
      </c>
      <c r="O98" s="29">
        <v>46101.575289351851</v>
      </c>
      <c r="P98" s="28"/>
      <c r="Q98" s="28" t="s">
        <v>596</v>
      </c>
      <c r="R98" s="28" t="s">
        <v>402</v>
      </c>
      <c r="S98" s="28" t="s">
        <v>798</v>
      </c>
      <c r="T98" s="28" t="s">
        <v>965</v>
      </c>
      <c r="U98" s="28"/>
      <c r="V98" s="28"/>
      <c r="W98" s="28"/>
      <c r="X98" s="28"/>
      <c r="Y98" s="30">
        <v>0</v>
      </c>
      <c r="Z98" s="28"/>
      <c r="AA98" s="28"/>
      <c r="AB98" s="28" t="s">
        <v>966</v>
      </c>
      <c r="AC98" s="28" t="s">
        <v>378</v>
      </c>
      <c r="AD98" s="28" t="s">
        <v>636</v>
      </c>
      <c r="AE98" s="28"/>
      <c r="AF98" s="28" t="str">
        <f t="shared" si="2"/>
        <v>marzo</v>
      </c>
    </row>
    <row r="99" spans="1:32" ht="103.5" x14ac:dyDescent="0.35">
      <c r="A99" s="28" t="s">
        <v>967</v>
      </c>
      <c r="B99" s="28" t="s">
        <v>123</v>
      </c>
      <c r="C99" s="28" t="s">
        <v>968</v>
      </c>
      <c r="D99" s="28" t="s">
        <v>969</v>
      </c>
      <c r="E99" s="28" t="s">
        <v>970</v>
      </c>
      <c r="F99" s="28" t="s">
        <v>867</v>
      </c>
      <c r="G99" s="28" t="s">
        <v>798</v>
      </c>
      <c r="H99" s="28"/>
      <c r="I99" s="28" t="s">
        <v>971</v>
      </c>
      <c r="J99" s="28" t="s">
        <v>378</v>
      </c>
      <c r="K99" s="29">
        <v>46101.576099537036</v>
      </c>
      <c r="L99" s="29">
        <v>46099.458333333336</v>
      </c>
      <c r="M99" s="29">
        <v>46099.625</v>
      </c>
      <c r="N99" s="29">
        <v>46101.576180555552</v>
      </c>
      <c r="O99" s="29">
        <v>46101.576203703706</v>
      </c>
      <c r="P99" s="28"/>
      <c r="Q99" s="28" t="s">
        <v>596</v>
      </c>
      <c r="R99" s="28" t="s">
        <v>402</v>
      </c>
      <c r="S99" s="28" t="s">
        <v>798</v>
      </c>
      <c r="T99" s="28" t="s">
        <v>972</v>
      </c>
      <c r="U99" s="28"/>
      <c r="V99" s="28"/>
      <c r="W99" s="28"/>
      <c r="X99" s="28"/>
      <c r="Y99" s="30">
        <v>0</v>
      </c>
      <c r="Z99" s="28"/>
      <c r="AA99" s="28"/>
      <c r="AB99" s="28" t="s">
        <v>973</v>
      </c>
      <c r="AC99" s="28" t="s">
        <v>378</v>
      </c>
      <c r="AD99" s="28" t="s">
        <v>974</v>
      </c>
      <c r="AE99" s="28"/>
      <c r="AF99" s="28" t="str">
        <f t="shared" si="2"/>
        <v>marzo</v>
      </c>
    </row>
    <row r="100" spans="1:32" ht="126.5" x14ac:dyDescent="0.35">
      <c r="A100" s="28" t="s">
        <v>975</v>
      </c>
      <c r="B100" s="28" t="s">
        <v>123</v>
      </c>
      <c r="C100" s="28" t="s">
        <v>976</v>
      </c>
      <c r="D100" s="28" t="s">
        <v>977</v>
      </c>
      <c r="E100" s="28" t="s">
        <v>978</v>
      </c>
      <c r="F100" s="28" t="s">
        <v>867</v>
      </c>
      <c r="G100" s="28" t="s">
        <v>798</v>
      </c>
      <c r="H100" s="28"/>
      <c r="I100" s="28" t="s">
        <v>979</v>
      </c>
      <c r="J100" s="28" t="s">
        <v>378</v>
      </c>
      <c r="K100" s="29">
        <v>46101.576886574076</v>
      </c>
      <c r="L100" s="29">
        <v>46100.375</v>
      </c>
      <c r="M100" s="29">
        <v>46100.708333333336</v>
      </c>
      <c r="N100" s="29">
        <v>46101.577037037037</v>
      </c>
      <c r="O100" s="29">
        <v>46101.57707175926</v>
      </c>
      <c r="P100" s="28"/>
      <c r="Q100" s="28" t="s">
        <v>596</v>
      </c>
      <c r="R100" s="28" t="s">
        <v>402</v>
      </c>
      <c r="S100" s="28" t="s">
        <v>798</v>
      </c>
      <c r="T100" s="28" t="s">
        <v>980</v>
      </c>
      <c r="U100" s="28"/>
      <c r="V100" s="28"/>
      <c r="W100" s="28"/>
      <c r="X100" s="28"/>
      <c r="Y100" s="30">
        <v>0</v>
      </c>
      <c r="Z100" s="28"/>
      <c r="AA100" s="28"/>
      <c r="AB100" s="28" t="s">
        <v>981</v>
      </c>
      <c r="AC100" s="28" t="s">
        <v>378</v>
      </c>
      <c r="AD100" s="28" t="s">
        <v>636</v>
      </c>
      <c r="AE100" s="28"/>
      <c r="AF100" s="28" t="str">
        <f t="shared" si="2"/>
        <v>marzo</v>
      </c>
    </row>
    <row r="101" spans="1:32" ht="57.5" x14ac:dyDescent="0.35">
      <c r="A101" s="28" t="s">
        <v>206</v>
      </c>
      <c r="B101" s="28" t="s">
        <v>123</v>
      </c>
      <c r="C101" s="28" t="s">
        <v>207</v>
      </c>
      <c r="D101" s="28" t="s">
        <v>167</v>
      </c>
      <c r="E101" s="28" t="s">
        <v>168</v>
      </c>
      <c r="F101" s="28" t="s">
        <v>127</v>
      </c>
      <c r="G101" s="28" t="s">
        <v>249</v>
      </c>
      <c r="H101" s="28"/>
      <c r="I101" s="28" t="s">
        <v>124</v>
      </c>
      <c r="J101" s="28"/>
      <c r="K101" s="29">
        <v>46105.341863425929</v>
      </c>
      <c r="L101" s="29">
        <v>46105.333333333336</v>
      </c>
      <c r="M101" s="29">
        <v>46105.416666666664</v>
      </c>
      <c r="N101" s="29">
        <v>46105.358958333331</v>
      </c>
      <c r="O101" s="29">
        <v>46105.444780092592</v>
      </c>
      <c r="P101" s="28" t="s">
        <v>208</v>
      </c>
      <c r="Q101" s="28" t="s">
        <v>33</v>
      </c>
      <c r="R101" s="28" t="s">
        <v>125</v>
      </c>
      <c r="S101" s="28" t="s">
        <v>249</v>
      </c>
      <c r="T101" s="28" t="s">
        <v>169</v>
      </c>
      <c r="U101" s="28"/>
      <c r="V101" s="28"/>
      <c r="W101" s="28"/>
      <c r="X101" s="28"/>
      <c r="Y101" s="30">
        <v>0</v>
      </c>
      <c r="Z101" s="28"/>
      <c r="AA101" s="28"/>
      <c r="AB101" s="28" t="s">
        <v>124</v>
      </c>
      <c r="AC101" s="28"/>
      <c r="AD101" s="28"/>
      <c r="AE101" s="28"/>
      <c r="AF101" s="28" t="str">
        <f t="shared" si="2"/>
        <v>marzo</v>
      </c>
    </row>
    <row r="102" spans="1:32" ht="80.5" x14ac:dyDescent="0.35">
      <c r="A102" s="28" t="s">
        <v>340</v>
      </c>
      <c r="B102" s="28" t="s">
        <v>123</v>
      </c>
      <c r="C102" s="28" t="s">
        <v>341</v>
      </c>
      <c r="D102" s="28" t="s">
        <v>342</v>
      </c>
      <c r="E102" s="28" t="s">
        <v>343</v>
      </c>
      <c r="F102" s="28" t="s">
        <v>255</v>
      </c>
      <c r="G102" s="28" t="s">
        <v>68</v>
      </c>
      <c r="H102" s="28"/>
      <c r="I102" s="28" t="s">
        <v>344</v>
      </c>
      <c r="J102" s="28" t="s">
        <v>128</v>
      </c>
      <c r="K102" s="29">
        <v>46093.913344907407</v>
      </c>
      <c r="L102" s="29">
        <v>46105.541666666664</v>
      </c>
      <c r="M102" s="29">
        <v>46105.75</v>
      </c>
      <c r="N102" s="29">
        <v>46105.781168981484</v>
      </c>
      <c r="O102" s="29">
        <v>46105.781261574077</v>
      </c>
      <c r="P102" s="28"/>
      <c r="Q102" s="28" t="s">
        <v>41</v>
      </c>
      <c r="R102" s="28" t="s">
        <v>125</v>
      </c>
      <c r="S102" s="28" t="s">
        <v>68</v>
      </c>
      <c r="T102" s="28" t="s">
        <v>345</v>
      </c>
      <c r="U102" s="28"/>
      <c r="V102" s="28"/>
      <c r="W102" s="28"/>
      <c r="X102" s="28"/>
      <c r="Y102" s="30">
        <v>0</v>
      </c>
      <c r="Z102" s="28"/>
      <c r="AA102" s="28"/>
      <c r="AB102" s="28" t="s">
        <v>346</v>
      </c>
      <c r="AC102" s="28" t="s">
        <v>128</v>
      </c>
      <c r="AD102" s="28" t="s">
        <v>219</v>
      </c>
      <c r="AE102" s="28"/>
      <c r="AF102" s="28" t="str">
        <f t="shared" si="2"/>
        <v>marzo</v>
      </c>
    </row>
    <row r="103" spans="1:32" ht="138" x14ac:dyDescent="0.35">
      <c r="A103" s="28" t="s">
        <v>347</v>
      </c>
      <c r="B103" s="28" t="s">
        <v>123</v>
      </c>
      <c r="C103" s="28" t="s">
        <v>348</v>
      </c>
      <c r="D103" s="28" t="s">
        <v>349</v>
      </c>
      <c r="E103" s="28" t="s">
        <v>350</v>
      </c>
      <c r="F103" s="28" t="s">
        <v>255</v>
      </c>
      <c r="G103" s="28" t="s">
        <v>32</v>
      </c>
      <c r="H103" s="28"/>
      <c r="I103" s="28" t="s">
        <v>351</v>
      </c>
      <c r="J103" s="28" t="s">
        <v>128</v>
      </c>
      <c r="K103" s="29">
        <v>46106.451724537037</v>
      </c>
      <c r="L103" s="29">
        <v>46106.333333333336</v>
      </c>
      <c r="M103" s="29">
        <v>46106.604166666664</v>
      </c>
      <c r="N103" s="29">
        <v>46106.451886574076</v>
      </c>
      <c r="O103" s="29">
        <v>46106.451944444445</v>
      </c>
      <c r="P103" s="28"/>
      <c r="Q103" s="28" t="s">
        <v>36</v>
      </c>
      <c r="R103" s="28" t="s">
        <v>125</v>
      </c>
      <c r="S103" s="28" t="s">
        <v>32</v>
      </c>
      <c r="T103" s="28" t="s">
        <v>352</v>
      </c>
      <c r="U103" s="28"/>
      <c r="V103" s="28"/>
      <c r="W103" s="28"/>
      <c r="X103" s="28"/>
      <c r="Y103" s="30">
        <v>0</v>
      </c>
      <c r="Z103" s="28"/>
      <c r="AA103" s="28"/>
      <c r="AB103" s="28" t="s">
        <v>353</v>
      </c>
      <c r="AC103" s="28" t="s">
        <v>128</v>
      </c>
      <c r="AD103" s="28" t="s">
        <v>354</v>
      </c>
      <c r="AE103" s="28"/>
      <c r="AF103" s="28" t="str">
        <f t="shared" si="2"/>
        <v>marzo</v>
      </c>
    </row>
    <row r="104" spans="1:32" ht="57.5" x14ac:dyDescent="0.35">
      <c r="A104" s="28" t="s">
        <v>209</v>
      </c>
      <c r="B104" s="28" t="s">
        <v>123</v>
      </c>
      <c r="C104" s="28" t="s">
        <v>210</v>
      </c>
      <c r="D104" s="28" t="s">
        <v>167</v>
      </c>
      <c r="E104" s="28" t="s">
        <v>168</v>
      </c>
      <c r="F104" s="28" t="s">
        <v>127</v>
      </c>
      <c r="G104" s="28" t="s">
        <v>249</v>
      </c>
      <c r="H104" s="28"/>
      <c r="I104" s="28" t="s">
        <v>124</v>
      </c>
      <c r="J104" s="28"/>
      <c r="K104" s="29">
        <v>46106.447916666664</v>
      </c>
      <c r="L104" s="29">
        <v>46106.333333333336</v>
      </c>
      <c r="M104" s="29">
        <v>46106.541666666664</v>
      </c>
      <c r="N104" s="29">
        <v>46106.448101851849</v>
      </c>
      <c r="O104" s="29">
        <v>46106.531886574077</v>
      </c>
      <c r="P104" s="28"/>
      <c r="Q104" s="28" t="s">
        <v>33</v>
      </c>
      <c r="R104" s="28" t="s">
        <v>125</v>
      </c>
      <c r="S104" s="28" t="s">
        <v>249</v>
      </c>
      <c r="T104" s="28" t="s">
        <v>169</v>
      </c>
      <c r="U104" s="28"/>
      <c r="V104" s="28"/>
      <c r="W104" s="28"/>
      <c r="X104" s="28"/>
      <c r="Y104" s="30">
        <v>0</v>
      </c>
      <c r="Z104" s="28"/>
      <c r="AA104" s="28"/>
      <c r="AB104" s="28" t="s">
        <v>124</v>
      </c>
      <c r="AC104" s="28"/>
      <c r="AD104" s="28"/>
      <c r="AE104" s="28"/>
      <c r="AF104" s="28" t="str">
        <f t="shared" si="2"/>
        <v>marzo</v>
      </c>
    </row>
    <row r="105" spans="1:32" ht="69" x14ac:dyDescent="0.35">
      <c r="A105" s="28" t="s">
        <v>606</v>
      </c>
      <c r="B105" s="28" t="s">
        <v>123</v>
      </c>
      <c r="C105" s="28" t="s">
        <v>607</v>
      </c>
      <c r="D105" s="28" t="s">
        <v>524</v>
      </c>
      <c r="E105" s="28" t="s">
        <v>525</v>
      </c>
      <c r="F105" s="28" t="s">
        <v>255</v>
      </c>
      <c r="G105" s="28" t="s">
        <v>541</v>
      </c>
      <c r="H105" s="28"/>
      <c r="I105" s="28" t="s">
        <v>527</v>
      </c>
      <c r="J105" s="28" t="s">
        <v>128</v>
      </c>
      <c r="K105" s="29">
        <v>46106.343530092592</v>
      </c>
      <c r="L105" s="29">
        <v>46106.333333333336</v>
      </c>
      <c r="M105" s="29">
        <v>46106.479166666664</v>
      </c>
      <c r="N105" s="29">
        <v>46106.343611111108</v>
      </c>
      <c r="O105" s="29">
        <v>46106.592222222222</v>
      </c>
      <c r="P105" s="28"/>
      <c r="Q105" s="28" t="s">
        <v>476</v>
      </c>
      <c r="R105" s="28" t="s">
        <v>125</v>
      </c>
      <c r="S105" s="28" t="s">
        <v>541</v>
      </c>
      <c r="T105" s="28" t="s">
        <v>530</v>
      </c>
      <c r="U105" s="28"/>
      <c r="V105" s="28"/>
      <c r="W105" s="28"/>
      <c r="X105" s="28"/>
      <c r="Y105" s="30">
        <v>0</v>
      </c>
      <c r="Z105" s="28"/>
      <c r="AA105" s="28"/>
      <c r="AB105" s="28" t="s">
        <v>531</v>
      </c>
      <c r="AC105" s="28" t="s">
        <v>128</v>
      </c>
      <c r="AD105" s="28" t="s">
        <v>532</v>
      </c>
      <c r="AE105" s="28"/>
      <c r="AF105" s="28" t="str">
        <f t="shared" si="2"/>
        <v>marzo</v>
      </c>
    </row>
    <row r="106" spans="1:32" ht="103.5" x14ac:dyDescent="0.35">
      <c r="A106" s="28" t="s">
        <v>355</v>
      </c>
      <c r="B106" s="28" t="s">
        <v>123</v>
      </c>
      <c r="C106" s="28" t="s">
        <v>356</v>
      </c>
      <c r="D106" s="28" t="s">
        <v>254</v>
      </c>
      <c r="E106" s="28" t="s">
        <v>142</v>
      </c>
      <c r="F106" s="28" t="s">
        <v>255</v>
      </c>
      <c r="G106" s="28" t="s">
        <v>42</v>
      </c>
      <c r="H106" s="28"/>
      <c r="I106" s="28" t="s">
        <v>256</v>
      </c>
      <c r="J106" s="28" t="s">
        <v>128</v>
      </c>
      <c r="K106" s="29">
        <v>46093.753819444442</v>
      </c>
      <c r="L106" s="29">
        <v>46105.333333333336</v>
      </c>
      <c r="M106" s="29">
        <v>46105.75</v>
      </c>
      <c r="N106" s="29">
        <v>46105.601585648146</v>
      </c>
      <c r="O106" s="29">
        <v>46106.659421296295</v>
      </c>
      <c r="P106" s="28"/>
      <c r="Q106" s="28" t="s">
        <v>41</v>
      </c>
      <c r="R106" s="28" t="s">
        <v>125</v>
      </c>
      <c r="S106" s="28" t="s">
        <v>42</v>
      </c>
      <c r="T106" s="28" t="s">
        <v>258</v>
      </c>
      <c r="U106" s="28"/>
      <c r="V106" s="28"/>
      <c r="W106" s="28"/>
      <c r="X106" s="28"/>
      <c r="Y106" s="30">
        <v>0</v>
      </c>
      <c r="Z106" s="28"/>
      <c r="AA106" s="28"/>
      <c r="AB106" s="28" t="s">
        <v>259</v>
      </c>
      <c r="AC106" s="28" t="s">
        <v>128</v>
      </c>
      <c r="AD106" s="28" t="s">
        <v>219</v>
      </c>
      <c r="AE106" s="28"/>
      <c r="AF106" s="28" t="str">
        <f t="shared" si="2"/>
        <v>marzo</v>
      </c>
    </row>
    <row r="107" spans="1:32" ht="92" x14ac:dyDescent="0.35">
      <c r="A107" s="28" t="s">
        <v>982</v>
      </c>
      <c r="B107" s="28" t="s">
        <v>123</v>
      </c>
      <c r="C107" s="28" t="s">
        <v>983</v>
      </c>
      <c r="D107" s="28" t="s">
        <v>472</v>
      </c>
      <c r="E107" s="28" t="s">
        <v>473</v>
      </c>
      <c r="F107" s="28" t="s">
        <v>867</v>
      </c>
      <c r="G107" s="28" t="s">
        <v>541</v>
      </c>
      <c r="H107" s="28"/>
      <c r="I107" s="28" t="s">
        <v>475</v>
      </c>
      <c r="J107" s="28" t="s">
        <v>128</v>
      </c>
      <c r="K107" s="29">
        <v>46106.591944444444</v>
      </c>
      <c r="L107" s="29">
        <v>46106.583333333336</v>
      </c>
      <c r="M107" s="29">
        <v>46106.625</v>
      </c>
      <c r="N107" s="29">
        <v>46106.592060185183</v>
      </c>
      <c r="O107" s="29">
        <v>46106.667303240742</v>
      </c>
      <c r="P107" s="28" t="s">
        <v>984</v>
      </c>
      <c r="Q107" s="28" t="s">
        <v>476</v>
      </c>
      <c r="R107" s="28" t="s">
        <v>125</v>
      </c>
      <c r="S107" s="28" t="s">
        <v>541</v>
      </c>
      <c r="T107" s="28" t="s">
        <v>477</v>
      </c>
      <c r="U107" s="28"/>
      <c r="V107" s="28"/>
      <c r="W107" s="28"/>
      <c r="X107" s="28"/>
      <c r="Y107" s="30">
        <v>0</v>
      </c>
      <c r="Z107" s="28"/>
      <c r="AA107" s="28"/>
      <c r="AB107" s="28" t="s">
        <v>478</v>
      </c>
      <c r="AC107" s="28" t="s">
        <v>128</v>
      </c>
      <c r="AD107" s="28" t="s">
        <v>396</v>
      </c>
      <c r="AE107" s="28"/>
      <c r="AF107" s="28" t="str">
        <f t="shared" si="2"/>
        <v>marzo</v>
      </c>
    </row>
    <row r="108" spans="1:32" ht="69" x14ac:dyDescent="0.35">
      <c r="A108" s="28" t="s">
        <v>985</v>
      </c>
      <c r="B108" s="28" t="s">
        <v>123</v>
      </c>
      <c r="C108" s="28" t="s">
        <v>986</v>
      </c>
      <c r="D108" s="28" t="s">
        <v>407</v>
      </c>
      <c r="E108" s="28" t="s">
        <v>223</v>
      </c>
      <c r="F108" s="28" t="s">
        <v>867</v>
      </c>
      <c r="G108" s="28" t="s">
        <v>812</v>
      </c>
      <c r="H108" s="28"/>
      <c r="I108" s="28" t="s">
        <v>409</v>
      </c>
      <c r="J108" s="28" t="s">
        <v>410</v>
      </c>
      <c r="K108" s="29">
        <v>46107.441504629627</v>
      </c>
      <c r="L108" s="29">
        <v>46107.4375</v>
      </c>
      <c r="M108" s="29">
        <v>46107.479166666664</v>
      </c>
      <c r="N108" s="29">
        <v>46107.4765162037</v>
      </c>
      <c r="O108" s="29">
        <v>46107.493935185186</v>
      </c>
      <c r="P108" s="28" t="s">
        <v>987</v>
      </c>
      <c r="Q108" s="28" t="s">
        <v>799</v>
      </c>
      <c r="R108" s="28" t="s">
        <v>402</v>
      </c>
      <c r="S108" s="28" t="s">
        <v>812</v>
      </c>
      <c r="T108" s="28" t="s">
        <v>588</v>
      </c>
      <c r="U108" s="28"/>
      <c r="V108" s="28"/>
      <c r="W108" s="28"/>
      <c r="X108" s="28"/>
      <c r="Y108" s="30">
        <v>0</v>
      </c>
      <c r="Z108" s="28"/>
      <c r="AA108" s="28"/>
      <c r="AB108" s="28" t="s">
        <v>589</v>
      </c>
      <c r="AC108" s="28" t="s">
        <v>410</v>
      </c>
      <c r="AD108" s="28" t="s">
        <v>413</v>
      </c>
      <c r="AE108" s="28"/>
      <c r="AF108" s="28" t="str">
        <f t="shared" si="2"/>
        <v>marzo</v>
      </c>
    </row>
    <row r="109" spans="1:32" ht="126.5" x14ac:dyDescent="0.35">
      <c r="A109" s="28" t="s">
        <v>211</v>
      </c>
      <c r="B109" s="28" t="s">
        <v>123</v>
      </c>
      <c r="C109" s="28" t="s">
        <v>212</v>
      </c>
      <c r="D109" s="28" t="s">
        <v>213</v>
      </c>
      <c r="E109" s="28" t="s">
        <v>214</v>
      </c>
      <c r="F109" s="28" t="s">
        <v>127</v>
      </c>
      <c r="G109" s="28" t="s">
        <v>68</v>
      </c>
      <c r="H109" s="28"/>
      <c r="I109" s="28" t="s">
        <v>215</v>
      </c>
      <c r="J109" s="28" t="s">
        <v>128</v>
      </c>
      <c r="K109" s="29">
        <v>46105.78329861111</v>
      </c>
      <c r="L109" s="29">
        <v>46106.333333333336</v>
      </c>
      <c r="M109" s="29">
        <v>46106.541666666664</v>
      </c>
      <c r="N109" s="29">
        <v>46107.892465277779</v>
      </c>
      <c r="O109" s="29">
        <v>46107.893900462965</v>
      </c>
      <c r="P109" s="28"/>
      <c r="Q109" s="28" t="s">
        <v>41</v>
      </c>
      <c r="R109" s="28" t="s">
        <v>125</v>
      </c>
      <c r="S109" s="28" t="s">
        <v>68</v>
      </c>
      <c r="T109" s="28" t="s">
        <v>216</v>
      </c>
      <c r="U109" s="28"/>
      <c r="V109" s="28"/>
      <c r="W109" s="28" t="s">
        <v>217</v>
      </c>
      <c r="X109" s="28"/>
      <c r="Y109" s="30">
        <v>0</v>
      </c>
      <c r="Z109" s="28"/>
      <c r="AA109" s="28"/>
      <c r="AB109" s="28" t="s">
        <v>218</v>
      </c>
      <c r="AC109" s="28" t="s">
        <v>128</v>
      </c>
      <c r="AD109" s="28" t="s">
        <v>219</v>
      </c>
      <c r="AE109" s="28"/>
      <c r="AF109" s="28" t="str">
        <f t="shared" si="2"/>
        <v>marzo</v>
      </c>
    </row>
    <row r="110" spans="1:32" ht="149.5" x14ac:dyDescent="0.35">
      <c r="A110" s="28" t="s">
        <v>220</v>
      </c>
      <c r="B110" s="28" t="s">
        <v>123</v>
      </c>
      <c r="C110" s="28" t="s">
        <v>221</v>
      </c>
      <c r="D110" s="28" t="s">
        <v>167</v>
      </c>
      <c r="E110" s="28" t="s">
        <v>168</v>
      </c>
      <c r="F110" s="28" t="s">
        <v>127</v>
      </c>
      <c r="G110" s="28" t="s">
        <v>249</v>
      </c>
      <c r="H110" s="28"/>
      <c r="I110" s="28" t="s">
        <v>124</v>
      </c>
      <c r="J110" s="28"/>
      <c r="K110" s="29">
        <v>46108.57739583333</v>
      </c>
      <c r="L110" s="29">
        <v>46108.354166666664</v>
      </c>
      <c r="M110" s="29">
        <v>46108.5625</v>
      </c>
      <c r="N110" s="29">
        <v>46108.577557870369</v>
      </c>
      <c r="O110" s="29">
        <v>46108.578356481485</v>
      </c>
      <c r="P110" s="28" t="s">
        <v>222</v>
      </c>
      <c r="Q110" s="28" t="s">
        <v>33</v>
      </c>
      <c r="R110" s="28" t="s">
        <v>125</v>
      </c>
      <c r="S110" s="28" t="s">
        <v>249</v>
      </c>
      <c r="T110" s="28" t="s">
        <v>169</v>
      </c>
      <c r="U110" s="28"/>
      <c r="V110" s="28"/>
      <c r="W110" s="28"/>
      <c r="X110" s="28"/>
      <c r="Y110" s="30">
        <v>0</v>
      </c>
      <c r="Z110" s="28"/>
      <c r="AA110" s="28"/>
      <c r="AB110" s="28" t="s">
        <v>124</v>
      </c>
      <c r="AC110" s="28"/>
      <c r="AD110" s="28"/>
      <c r="AE110" s="28"/>
      <c r="AF110" s="28" t="str">
        <f t="shared" si="2"/>
        <v>marzo</v>
      </c>
    </row>
    <row r="111" spans="1:32" ht="69" x14ac:dyDescent="0.35">
      <c r="A111" s="28" t="s">
        <v>988</v>
      </c>
      <c r="B111" s="28" t="s">
        <v>123</v>
      </c>
      <c r="C111" s="28" t="s">
        <v>989</v>
      </c>
      <c r="D111" s="28" t="s">
        <v>407</v>
      </c>
      <c r="E111" s="28" t="s">
        <v>223</v>
      </c>
      <c r="F111" s="28" t="s">
        <v>867</v>
      </c>
      <c r="G111" s="28" t="s">
        <v>812</v>
      </c>
      <c r="H111" s="28"/>
      <c r="I111" s="28" t="s">
        <v>409</v>
      </c>
      <c r="J111" s="28" t="s">
        <v>410</v>
      </c>
      <c r="K111" s="29">
        <v>46108.710879629631</v>
      </c>
      <c r="L111" s="29">
        <v>46108.708333333336</v>
      </c>
      <c r="M111" s="29">
        <v>46108.833333333336</v>
      </c>
      <c r="N111" s="29">
        <v>46108.711018518516</v>
      </c>
      <c r="O111" s="29">
        <v>46108.880046296297</v>
      </c>
      <c r="P111" s="28" t="s">
        <v>990</v>
      </c>
      <c r="Q111" s="28" t="s">
        <v>799</v>
      </c>
      <c r="R111" s="28" t="s">
        <v>402</v>
      </c>
      <c r="S111" s="28" t="s">
        <v>812</v>
      </c>
      <c r="T111" s="28" t="s">
        <v>588</v>
      </c>
      <c r="U111" s="28"/>
      <c r="V111" s="28"/>
      <c r="W111" s="28"/>
      <c r="X111" s="28"/>
      <c r="Y111" s="30">
        <v>0</v>
      </c>
      <c r="Z111" s="28"/>
      <c r="AA111" s="28"/>
      <c r="AB111" s="28" t="s">
        <v>589</v>
      </c>
      <c r="AC111" s="28" t="s">
        <v>410</v>
      </c>
      <c r="AD111" s="28" t="s">
        <v>413</v>
      </c>
      <c r="AE111" s="28"/>
      <c r="AF111" s="28" t="str">
        <f t="shared" si="2"/>
        <v>marzo</v>
      </c>
    </row>
    <row r="112" spans="1:32" ht="92" x14ac:dyDescent="0.35">
      <c r="A112" s="28" t="s">
        <v>357</v>
      </c>
      <c r="B112" s="28" t="s">
        <v>123</v>
      </c>
      <c r="C112" s="28" t="s">
        <v>358</v>
      </c>
      <c r="D112" s="28" t="s">
        <v>136</v>
      </c>
      <c r="E112" s="28" t="s">
        <v>137</v>
      </c>
      <c r="F112" s="28" t="s">
        <v>255</v>
      </c>
      <c r="G112" s="28" t="s">
        <v>733</v>
      </c>
      <c r="H112" s="28"/>
      <c r="I112" s="28" t="s">
        <v>138</v>
      </c>
      <c r="J112" s="28" t="s">
        <v>128</v>
      </c>
      <c r="K112" s="29">
        <v>46097.62835648148</v>
      </c>
      <c r="L112" s="29">
        <v>46109.333333333336</v>
      </c>
      <c r="M112" s="29">
        <v>46109.541666666664</v>
      </c>
      <c r="N112" s="29">
        <v>46109.428240740737</v>
      </c>
      <c r="O112" s="29">
        <v>46109.79047453704</v>
      </c>
      <c r="P112" s="28"/>
      <c r="Q112" s="28" t="s">
        <v>36</v>
      </c>
      <c r="R112" s="28" t="s">
        <v>125</v>
      </c>
      <c r="S112" s="28" t="s">
        <v>733</v>
      </c>
      <c r="T112" s="28" t="s">
        <v>139</v>
      </c>
      <c r="U112" s="28"/>
      <c r="V112" s="28"/>
      <c r="W112" s="28"/>
      <c r="X112" s="28"/>
      <c r="Y112" s="30">
        <v>0</v>
      </c>
      <c r="Z112" s="28"/>
      <c r="AA112" s="28"/>
      <c r="AB112" s="28" t="s">
        <v>140</v>
      </c>
      <c r="AC112" s="28" t="s">
        <v>128</v>
      </c>
      <c r="AD112" s="28" t="s">
        <v>141</v>
      </c>
      <c r="AE112" s="28"/>
      <c r="AF112" s="28" t="str">
        <f t="shared" si="2"/>
        <v>marzo</v>
      </c>
    </row>
    <row r="113" spans="1:32" ht="126.5" x14ac:dyDescent="0.35">
      <c r="A113" s="28" t="s">
        <v>608</v>
      </c>
      <c r="B113" s="28" t="s">
        <v>123</v>
      </c>
      <c r="C113" s="28" t="s">
        <v>609</v>
      </c>
      <c r="D113" s="28" t="s">
        <v>610</v>
      </c>
      <c r="E113" s="28" t="s">
        <v>611</v>
      </c>
      <c r="F113" s="28" t="s">
        <v>255</v>
      </c>
      <c r="G113" s="28" t="s">
        <v>612</v>
      </c>
      <c r="H113" s="28"/>
      <c r="I113" s="28" t="s">
        <v>613</v>
      </c>
      <c r="J113" s="28" t="s">
        <v>582</v>
      </c>
      <c r="K113" s="29">
        <v>46110.904085648152</v>
      </c>
      <c r="L113" s="29">
        <v>46111.416666666664</v>
      </c>
      <c r="M113" s="29">
        <v>46111.645833333336</v>
      </c>
      <c r="N113" s="29">
        <v>46111.425312500003</v>
      </c>
      <c r="O113" s="29">
        <v>46111.646423611113</v>
      </c>
      <c r="P113" s="28" t="s">
        <v>614</v>
      </c>
      <c r="Q113" s="28" t="s">
        <v>376</v>
      </c>
      <c r="R113" s="28" t="s">
        <v>402</v>
      </c>
      <c r="S113" s="28" t="s">
        <v>612</v>
      </c>
      <c r="T113" s="28" t="s">
        <v>615</v>
      </c>
      <c r="U113" s="28"/>
      <c r="V113" s="28"/>
      <c r="W113" s="28"/>
      <c r="X113" s="28"/>
      <c r="Y113" s="30">
        <v>0</v>
      </c>
      <c r="Z113" s="28"/>
      <c r="AA113" s="28"/>
      <c r="AB113" s="28" t="s">
        <v>616</v>
      </c>
      <c r="AC113" s="28" t="s">
        <v>582</v>
      </c>
      <c r="AD113" s="28" t="s">
        <v>617</v>
      </c>
      <c r="AE113" s="28"/>
      <c r="AF113" s="28" t="str">
        <f t="shared" si="2"/>
        <v>marzo</v>
      </c>
    </row>
    <row r="114" spans="1:32" ht="103.5" x14ac:dyDescent="0.35">
      <c r="A114" s="28" t="s">
        <v>991</v>
      </c>
      <c r="B114" s="28" t="s">
        <v>123</v>
      </c>
      <c r="C114" s="28" t="s">
        <v>992</v>
      </c>
      <c r="D114" s="28" t="s">
        <v>286</v>
      </c>
      <c r="E114" s="28" t="s">
        <v>287</v>
      </c>
      <c r="F114" s="28" t="s">
        <v>867</v>
      </c>
      <c r="G114" s="28" t="s">
        <v>541</v>
      </c>
      <c r="H114" s="28"/>
      <c r="I114" s="28" t="s">
        <v>288</v>
      </c>
      <c r="J114" s="28" t="s">
        <v>128</v>
      </c>
      <c r="K114" s="29">
        <v>46100.538877314815</v>
      </c>
      <c r="L114" s="29">
        <v>46100.583333333336</v>
      </c>
      <c r="M114" s="29">
        <v>46100.645833333336</v>
      </c>
      <c r="N114" s="29">
        <v>46100.538969907408</v>
      </c>
      <c r="O114" s="29">
        <v>46128.686608796299</v>
      </c>
      <c r="P114" s="28"/>
      <c r="Q114" s="28" t="s">
        <v>476</v>
      </c>
      <c r="R114" s="28" t="s">
        <v>125</v>
      </c>
      <c r="S114" s="28" t="s">
        <v>541</v>
      </c>
      <c r="T114" s="28" t="s">
        <v>289</v>
      </c>
      <c r="U114" s="28"/>
      <c r="V114" s="28"/>
      <c r="W114" s="28"/>
      <c r="X114" s="28"/>
      <c r="Y114" s="30">
        <v>0</v>
      </c>
      <c r="Z114" s="28"/>
      <c r="AA114" s="28"/>
      <c r="AB114" s="28" t="s">
        <v>290</v>
      </c>
      <c r="AC114" s="28" t="s">
        <v>128</v>
      </c>
      <c r="AD114" s="28" t="s">
        <v>291</v>
      </c>
      <c r="AE114" s="28"/>
      <c r="AF114" s="28" t="str">
        <f t="shared" si="2"/>
        <v>marzo</v>
      </c>
    </row>
    <row r="115" spans="1:32" ht="80.5" x14ac:dyDescent="0.35">
      <c r="A115" s="28" t="s">
        <v>618</v>
      </c>
      <c r="B115" s="28" t="s">
        <v>123</v>
      </c>
      <c r="C115" s="28" t="s">
        <v>619</v>
      </c>
      <c r="D115" s="28" t="s">
        <v>407</v>
      </c>
      <c r="E115" s="28" t="s">
        <v>223</v>
      </c>
      <c r="F115" s="28" t="s">
        <v>255</v>
      </c>
      <c r="G115" s="28" t="s">
        <v>620</v>
      </c>
      <c r="H115" s="28"/>
      <c r="I115" s="28" t="s">
        <v>409</v>
      </c>
      <c r="J115" s="28" t="s">
        <v>410</v>
      </c>
      <c r="K115" s="29">
        <v>46057.97896990741</v>
      </c>
      <c r="L115" s="29">
        <v>46058.6875</v>
      </c>
      <c r="M115" s="29">
        <v>46058.770833333336</v>
      </c>
      <c r="N115" s="29">
        <v>46058.6875</v>
      </c>
      <c r="O115" s="29">
        <v>46058.770833333336</v>
      </c>
      <c r="P115" s="28"/>
      <c r="Q115" s="28" t="s">
        <v>133</v>
      </c>
      <c r="R115" s="28" t="s">
        <v>402</v>
      </c>
      <c r="S115" s="28" t="s">
        <v>620</v>
      </c>
      <c r="T115" s="28" t="s">
        <v>412</v>
      </c>
      <c r="U115" s="28"/>
      <c r="V115" s="28"/>
      <c r="W115" s="28"/>
      <c r="X115" s="28"/>
      <c r="Y115" s="30">
        <v>0</v>
      </c>
      <c r="Z115" s="28"/>
      <c r="AA115" s="28"/>
      <c r="AB115" s="28" t="s">
        <v>124</v>
      </c>
      <c r="AC115" s="28" t="s">
        <v>410</v>
      </c>
      <c r="AD115" s="28" t="s">
        <v>413</v>
      </c>
      <c r="AE115" s="28"/>
      <c r="AF115" s="28" t="str">
        <f t="shared" si="2"/>
        <v>febrero</v>
      </c>
    </row>
    <row r="116" spans="1:32" ht="161" x14ac:dyDescent="0.35">
      <c r="A116" s="28" t="s">
        <v>621</v>
      </c>
      <c r="B116" s="28" t="s">
        <v>123</v>
      </c>
      <c r="C116" s="28" t="s">
        <v>622</v>
      </c>
      <c r="D116" s="28" t="s">
        <v>407</v>
      </c>
      <c r="E116" s="28" t="s">
        <v>223</v>
      </c>
      <c r="F116" s="28" t="s">
        <v>255</v>
      </c>
      <c r="G116" s="28" t="s">
        <v>623</v>
      </c>
      <c r="H116" s="28"/>
      <c r="I116" s="28" t="s">
        <v>409</v>
      </c>
      <c r="J116" s="28" t="s">
        <v>410</v>
      </c>
      <c r="K116" s="29">
        <v>46075.837789351855</v>
      </c>
      <c r="L116" s="29">
        <v>46078.583333333336</v>
      </c>
      <c r="M116" s="29">
        <v>46078.708333333336</v>
      </c>
      <c r="N116" s="29">
        <v>46078.583333333336</v>
      </c>
      <c r="O116" s="29">
        <v>46078.708333333336</v>
      </c>
      <c r="P116" s="28" t="s">
        <v>624</v>
      </c>
      <c r="Q116" s="28" t="s">
        <v>133</v>
      </c>
      <c r="R116" s="28" t="s">
        <v>402</v>
      </c>
      <c r="S116" s="28" t="s">
        <v>623</v>
      </c>
      <c r="T116" s="28" t="s">
        <v>588</v>
      </c>
      <c r="U116" s="28"/>
      <c r="V116" s="28"/>
      <c r="W116" s="28"/>
      <c r="X116" s="28"/>
      <c r="Y116" s="30">
        <v>0</v>
      </c>
      <c r="Z116" s="28"/>
      <c r="AA116" s="28"/>
      <c r="AB116" s="28" t="s">
        <v>589</v>
      </c>
      <c r="AC116" s="28" t="s">
        <v>410</v>
      </c>
      <c r="AD116" s="28" t="s">
        <v>413</v>
      </c>
      <c r="AE116" s="28"/>
      <c r="AF116" s="28" t="str">
        <f t="shared" si="2"/>
        <v>febrero</v>
      </c>
    </row>
    <row r="117" spans="1:32" ht="138" x14ac:dyDescent="0.35">
      <c r="A117" s="28" t="s">
        <v>625</v>
      </c>
      <c r="B117" s="28" t="s">
        <v>123</v>
      </c>
      <c r="C117" s="28" t="s">
        <v>626</v>
      </c>
      <c r="D117" s="28" t="s">
        <v>407</v>
      </c>
      <c r="E117" s="28" t="s">
        <v>223</v>
      </c>
      <c r="F117" s="28" t="s">
        <v>127</v>
      </c>
      <c r="G117" s="28" t="s">
        <v>623</v>
      </c>
      <c r="H117" s="28"/>
      <c r="I117" s="28" t="s">
        <v>409</v>
      </c>
      <c r="J117" s="28" t="s">
        <v>410</v>
      </c>
      <c r="K117" s="29">
        <v>46055.393541666665</v>
      </c>
      <c r="L117" s="29">
        <v>46056.333333333336</v>
      </c>
      <c r="M117" s="29">
        <v>46056.666666666664</v>
      </c>
      <c r="N117" s="29">
        <v>46056.333333333336</v>
      </c>
      <c r="O117" s="29">
        <v>46056.666666666664</v>
      </c>
      <c r="P117" s="28" t="s">
        <v>627</v>
      </c>
      <c r="Q117" s="28" t="s">
        <v>133</v>
      </c>
      <c r="R117" s="28" t="s">
        <v>402</v>
      </c>
      <c r="S117" s="28" t="s">
        <v>623</v>
      </c>
      <c r="T117" s="28" t="s">
        <v>412</v>
      </c>
      <c r="U117" s="28"/>
      <c r="V117" s="28"/>
      <c r="W117" s="28"/>
      <c r="X117" s="28"/>
      <c r="Y117" s="30">
        <v>0</v>
      </c>
      <c r="Z117" s="28"/>
      <c r="AA117" s="28"/>
      <c r="AB117" s="28" t="s">
        <v>124</v>
      </c>
      <c r="AC117" s="28" t="s">
        <v>410</v>
      </c>
      <c r="AD117" s="28" t="s">
        <v>413</v>
      </c>
      <c r="AE117" s="28"/>
      <c r="AF117" s="28" t="str">
        <f t="shared" si="2"/>
        <v>febrero</v>
      </c>
    </row>
    <row r="118" spans="1:32" ht="92" x14ac:dyDescent="0.35">
      <c r="A118" s="28" t="s">
        <v>359</v>
      </c>
      <c r="B118" s="28" t="s">
        <v>123</v>
      </c>
      <c r="C118" s="28" t="s">
        <v>360</v>
      </c>
      <c r="D118" s="28" t="s">
        <v>361</v>
      </c>
      <c r="E118" s="28" t="s">
        <v>320</v>
      </c>
      <c r="F118" s="28" t="s">
        <v>255</v>
      </c>
      <c r="G118" s="28" t="s">
        <v>40</v>
      </c>
      <c r="H118" s="28"/>
      <c r="I118" s="28" t="s">
        <v>362</v>
      </c>
      <c r="J118" s="28" t="s">
        <v>128</v>
      </c>
      <c r="K118" s="29">
        <v>46099.231898148151</v>
      </c>
      <c r="L118" s="29">
        <v>46098.916666666664</v>
      </c>
      <c r="M118" s="29">
        <v>46099.916666666664</v>
      </c>
      <c r="N118" s="29">
        <v>46098.916666666664</v>
      </c>
      <c r="O118" s="29">
        <v>46099.916666666664</v>
      </c>
      <c r="P118" s="28"/>
      <c r="Q118" s="28" t="s">
        <v>39</v>
      </c>
      <c r="R118" s="28" t="s">
        <v>125</v>
      </c>
      <c r="S118" s="28" t="s">
        <v>64</v>
      </c>
      <c r="T118" s="28" t="s">
        <v>363</v>
      </c>
      <c r="U118" s="28"/>
      <c r="V118" s="28"/>
      <c r="W118" s="28"/>
      <c r="X118" s="28"/>
      <c r="Y118" s="30">
        <v>0</v>
      </c>
      <c r="Z118" s="28"/>
      <c r="AA118" s="28"/>
      <c r="AB118" s="28" t="s">
        <v>364</v>
      </c>
      <c r="AC118" s="28" t="s">
        <v>128</v>
      </c>
      <c r="AD118" s="28" t="s">
        <v>291</v>
      </c>
      <c r="AE118" s="28"/>
      <c r="AF118" s="28" t="str">
        <f t="shared" si="2"/>
        <v>marzo</v>
      </c>
    </row>
    <row r="119" spans="1:32" ht="57.5" x14ac:dyDescent="0.35">
      <c r="A119" s="28" t="s">
        <v>628</v>
      </c>
      <c r="B119" s="28" t="s">
        <v>123</v>
      </c>
      <c r="C119" s="28" t="s">
        <v>629</v>
      </c>
      <c r="D119" s="28" t="s">
        <v>399</v>
      </c>
      <c r="E119" s="28" t="s">
        <v>126</v>
      </c>
      <c r="F119" s="28" t="s">
        <v>255</v>
      </c>
      <c r="G119" s="28" t="s">
        <v>408</v>
      </c>
      <c r="H119" s="28"/>
      <c r="I119" s="28" t="s">
        <v>401</v>
      </c>
      <c r="J119" s="28" t="s">
        <v>128</v>
      </c>
      <c r="K119" s="29">
        <v>46064.683263888888</v>
      </c>
      <c r="L119" s="29">
        <v>46064.333333333336</v>
      </c>
      <c r="M119" s="29">
        <v>46064.75</v>
      </c>
      <c r="N119" s="29">
        <v>46064.333333333336</v>
      </c>
      <c r="O119" s="29">
        <v>46064.75</v>
      </c>
      <c r="P119" s="28"/>
      <c r="Q119" s="28" t="s">
        <v>459</v>
      </c>
      <c r="R119" s="28" t="s">
        <v>402</v>
      </c>
      <c r="S119" s="28" t="s">
        <v>408</v>
      </c>
      <c r="T119" s="28" t="s">
        <v>630</v>
      </c>
      <c r="U119" s="28"/>
      <c r="V119" s="28"/>
      <c r="W119" s="28"/>
      <c r="X119" s="28"/>
      <c r="Y119" s="30">
        <v>0</v>
      </c>
      <c r="Z119" s="28"/>
      <c r="AA119" s="28"/>
      <c r="AB119" s="28" t="s">
        <v>631</v>
      </c>
      <c r="AC119" s="28" t="s">
        <v>128</v>
      </c>
      <c r="AD119" s="28" t="s">
        <v>404</v>
      </c>
      <c r="AE119" s="28"/>
      <c r="AF119" s="28" t="str">
        <f t="shared" si="2"/>
        <v>febrero</v>
      </c>
    </row>
    <row r="120" spans="1:32" ht="80.5" x14ac:dyDescent="0.35">
      <c r="A120" s="28" t="s">
        <v>993</v>
      </c>
      <c r="B120" s="28" t="s">
        <v>123</v>
      </c>
      <c r="C120" s="28" t="s">
        <v>994</v>
      </c>
      <c r="D120" s="28" t="s">
        <v>995</v>
      </c>
      <c r="E120" s="28" t="s">
        <v>996</v>
      </c>
      <c r="F120" s="28" t="s">
        <v>867</v>
      </c>
      <c r="G120" s="28" t="s">
        <v>813</v>
      </c>
      <c r="H120" s="28"/>
      <c r="I120" s="28" t="s">
        <v>997</v>
      </c>
      <c r="J120" s="28" t="s">
        <v>448</v>
      </c>
      <c r="K120" s="29">
        <v>46099.556111111109</v>
      </c>
      <c r="L120" s="29">
        <v>46099.5625</v>
      </c>
      <c r="M120" s="29">
        <v>46099.645833333336</v>
      </c>
      <c r="N120" s="29">
        <v>46099.5625</v>
      </c>
      <c r="O120" s="29">
        <v>46099.645833333336</v>
      </c>
      <c r="P120" s="28"/>
      <c r="Q120" s="28" t="s">
        <v>799</v>
      </c>
      <c r="R120" s="28" t="s">
        <v>402</v>
      </c>
      <c r="S120" s="28" t="s">
        <v>813</v>
      </c>
      <c r="T120" s="28" t="s">
        <v>998</v>
      </c>
      <c r="U120" s="28"/>
      <c r="V120" s="28"/>
      <c r="W120" s="28"/>
      <c r="X120" s="28"/>
      <c r="Y120" s="30">
        <v>0</v>
      </c>
      <c r="Z120" s="28"/>
      <c r="AA120" s="28"/>
      <c r="AB120" s="28" t="s">
        <v>999</v>
      </c>
      <c r="AC120" s="28" t="s">
        <v>448</v>
      </c>
      <c r="AD120" s="28" t="s">
        <v>1000</v>
      </c>
      <c r="AE120" s="28"/>
      <c r="AF120" s="28" t="str">
        <f t="shared" si="2"/>
        <v>marzo</v>
      </c>
    </row>
    <row r="121" spans="1:32" x14ac:dyDescent="0.35">
      <c r="A121" s="28"/>
      <c r="B121" s="28"/>
      <c r="C121" s="28"/>
      <c r="D121" s="28"/>
      <c r="E121" s="28"/>
      <c r="F121" s="28"/>
      <c r="G121" s="28"/>
      <c r="H121" s="28"/>
      <c r="I121" s="28"/>
      <c r="J121" s="28"/>
      <c r="K121" s="29"/>
      <c r="L121" s="29"/>
      <c r="M121" s="29"/>
      <c r="N121" s="29"/>
      <c r="O121" s="29"/>
      <c r="P121" s="28"/>
      <c r="Q121" s="28"/>
      <c r="R121" s="28"/>
      <c r="S121" s="28"/>
      <c r="T121" s="28"/>
      <c r="U121" s="28"/>
      <c r="V121" s="28"/>
      <c r="W121" s="28"/>
      <c r="X121" s="28"/>
      <c r="Y121" s="30"/>
      <c r="Z121" s="28"/>
      <c r="AA121" s="28"/>
      <c r="AB121" s="28"/>
      <c r="AC121" s="28"/>
      <c r="AD121" s="28"/>
      <c r="AE121" s="28"/>
      <c r="AF121" s="28" t="str">
        <f t="shared" si="2"/>
        <v>enero</v>
      </c>
    </row>
    <row r="122" spans="1:32" x14ac:dyDescent="0.35">
      <c r="A122" s="28"/>
      <c r="B122" s="28"/>
      <c r="C122" s="28"/>
      <c r="D122" s="28"/>
      <c r="E122" s="28"/>
      <c r="F122" s="28"/>
      <c r="G122" s="28"/>
      <c r="H122" s="28"/>
      <c r="I122" s="28"/>
      <c r="J122" s="28"/>
      <c r="K122" s="29"/>
      <c r="L122" s="29"/>
      <c r="M122" s="29"/>
      <c r="N122" s="29"/>
      <c r="O122" s="29"/>
      <c r="P122" s="28"/>
      <c r="Q122" s="28"/>
      <c r="R122" s="28"/>
      <c r="S122" s="28"/>
      <c r="T122" s="28"/>
      <c r="U122" s="28"/>
      <c r="V122" s="28"/>
      <c r="W122" s="28"/>
      <c r="X122" s="28"/>
      <c r="Y122" s="30"/>
      <c r="Z122" s="28"/>
      <c r="AA122" s="28"/>
      <c r="AB122" s="28"/>
      <c r="AC122" s="28"/>
      <c r="AD122" s="28"/>
      <c r="AE122" s="28"/>
      <c r="AF122" s="28" t="str">
        <f t="shared" si="2"/>
        <v>enero</v>
      </c>
    </row>
    <row r="123" spans="1:32" x14ac:dyDescent="0.35">
      <c r="A123" s="28"/>
      <c r="B123" s="28"/>
      <c r="C123" s="28"/>
      <c r="D123" s="28"/>
      <c r="E123" s="28"/>
      <c r="F123" s="28"/>
      <c r="G123" s="28"/>
      <c r="H123" s="28"/>
      <c r="I123" s="28"/>
      <c r="J123" s="28"/>
      <c r="K123" s="29"/>
      <c r="L123" s="29"/>
      <c r="M123" s="29"/>
      <c r="N123" s="29"/>
      <c r="O123" s="29"/>
      <c r="P123" s="28"/>
      <c r="Q123" s="28"/>
      <c r="R123" s="28"/>
      <c r="S123" s="28"/>
      <c r="T123" s="28"/>
      <c r="U123" s="28"/>
      <c r="V123" s="28"/>
      <c r="W123" s="28"/>
      <c r="X123" s="28"/>
      <c r="Y123" s="30"/>
      <c r="Z123" s="28"/>
      <c r="AA123" s="28"/>
      <c r="AB123" s="28"/>
      <c r="AC123" s="28"/>
      <c r="AD123" s="28"/>
      <c r="AE123" s="28"/>
      <c r="AF123" s="28" t="str">
        <f t="shared" si="2"/>
        <v>enero</v>
      </c>
    </row>
    <row r="124" spans="1:32" x14ac:dyDescent="0.35">
      <c r="A124" s="28"/>
      <c r="B124" s="28"/>
      <c r="C124" s="28"/>
      <c r="D124" s="28"/>
      <c r="E124" s="28"/>
      <c r="F124" s="28"/>
      <c r="G124" s="28"/>
      <c r="H124" s="28"/>
      <c r="I124" s="28"/>
      <c r="J124" s="28"/>
      <c r="K124" s="29"/>
      <c r="L124" s="29"/>
      <c r="M124" s="29"/>
      <c r="N124" s="29"/>
      <c r="O124" s="29"/>
      <c r="P124" s="28"/>
      <c r="Q124" s="28"/>
      <c r="R124" s="28"/>
      <c r="S124" s="28"/>
      <c r="T124" s="28"/>
      <c r="U124" s="28"/>
      <c r="V124" s="28"/>
      <c r="W124" s="28"/>
      <c r="X124" s="28"/>
      <c r="Y124" s="30"/>
      <c r="Z124" s="28"/>
      <c r="AA124" s="28"/>
      <c r="AB124" s="28"/>
      <c r="AC124" s="28"/>
      <c r="AD124" s="28"/>
      <c r="AE124" s="28"/>
      <c r="AF124" s="28" t="str">
        <f t="shared" si="2"/>
        <v>enero</v>
      </c>
    </row>
    <row r="125" spans="1:32" x14ac:dyDescent="0.35">
      <c r="A125" s="28"/>
      <c r="B125" s="28"/>
      <c r="C125" s="28"/>
      <c r="D125" s="28"/>
      <c r="E125" s="28"/>
      <c r="F125" s="28"/>
      <c r="G125" s="28"/>
      <c r="H125" s="28"/>
      <c r="I125" s="28"/>
      <c r="J125" s="28"/>
      <c r="K125" s="29"/>
      <c r="L125" s="29"/>
      <c r="M125" s="29"/>
      <c r="N125" s="29"/>
      <c r="O125" s="29"/>
      <c r="P125" s="28"/>
      <c r="Q125" s="28"/>
      <c r="R125" s="28"/>
      <c r="S125" s="28"/>
      <c r="T125" s="28"/>
      <c r="U125" s="28"/>
      <c r="V125" s="28"/>
      <c r="W125" s="28"/>
      <c r="X125" s="28"/>
      <c r="Y125" s="30"/>
      <c r="Z125" s="28"/>
      <c r="AA125" s="28"/>
      <c r="AB125" s="28"/>
      <c r="AC125" s="28"/>
      <c r="AD125" s="28"/>
      <c r="AE125" s="28"/>
      <c r="AF125" s="28" t="str">
        <f t="shared" si="2"/>
        <v>enero</v>
      </c>
    </row>
    <row r="126" spans="1:32" x14ac:dyDescent="0.35">
      <c r="A126" s="28"/>
      <c r="B126" s="28"/>
      <c r="C126" s="28"/>
      <c r="D126" s="28"/>
      <c r="E126" s="28"/>
      <c r="F126" s="28"/>
      <c r="G126" s="28"/>
      <c r="H126" s="28"/>
      <c r="I126" s="28"/>
      <c r="J126" s="28"/>
      <c r="K126" s="29"/>
      <c r="L126" s="29"/>
      <c r="M126" s="29"/>
      <c r="N126" s="29"/>
      <c r="O126" s="29"/>
      <c r="P126" s="28"/>
      <c r="Q126" s="28"/>
      <c r="R126" s="28"/>
      <c r="S126" s="28"/>
      <c r="T126" s="28"/>
      <c r="U126" s="28"/>
      <c r="V126" s="28"/>
      <c r="W126" s="28"/>
      <c r="X126" s="28"/>
      <c r="Y126" s="30"/>
      <c r="Z126" s="28"/>
      <c r="AA126" s="28"/>
      <c r="AB126" s="28"/>
      <c r="AC126" s="28"/>
      <c r="AD126" s="28"/>
      <c r="AE126" s="28"/>
      <c r="AF126" s="28" t="str">
        <f t="shared" si="2"/>
        <v>enero</v>
      </c>
    </row>
    <row r="127" spans="1:32" x14ac:dyDescent="0.35">
      <c r="A127" s="28"/>
      <c r="B127" s="28"/>
      <c r="C127" s="28"/>
      <c r="D127" s="28"/>
      <c r="E127" s="28"/>
      <c r="F127" s="28"/>
      <c r="G127" s="28"/>
      <c r="H127" s="28"/>
      <c r="I127" s="28"/>
      <c r="J127" s="28"/>
      <c r="K127" s="29"/>
      <c r="L127" s="29"/>
      <c r="M127" s="29"/>
      <c r="N127" s="29"/>
      <c r="O127" s="29"/>
      <c r="P127" s="28"/>
      <c r="Q127" s="28"/>
      <c r="R127" s="28"/>
      <c r="S127" s="28"/>
      <c r="T127" s="28"/>
      <c r="U127" s="28"/>
      <c r="V127" s="28"/>
      <c r="W127" s="28"/>
      <c r="X127" s="28"/>
      <c r="Y127" s="30"/>
      <c r="Z127" s="28"/>
      <c r="AA127" s="28"/>
      <c r="AB127" s="28"/>
      <c r="AC127" s="28"/>
      <c r="AD127" s="28"/>
      <c r="AE127" s="28"/>
      <c r="AF127" s="28" t="str">
        <f t="shared" si="2"/>
        <v>enero</v>
      </c>
    </row>
    <row r="128" spans="1:32" x14ac:dyDescent="0.35">
      <c r="A128" s="28"/>
      <c r="B128" s="28"/>
      <c r="C128" s="28"/>
      <c r="D128" s="28"/>
      <c r="E128" s="28"/>
      <c r="F128" s="28"/>
      <c r="G128" s="28"/>
      <c r="H128" s="28"/>
      <c r="I128" s="28"/>
      <c r="J128" s="28"/>
      <c r="K128" s="29"/>
      <c r="L128" s="29"/>
      <c r="M128" s="29"/>
      <c r="N128" s="29"/>
      <c r="O128" s="29"/>
      <c r="P128" s="28"/>
      <c r="Q128" s="28"/>
      <c r="R128" s="28"/>
      <c r="S128" s="28"/>
      <c r="T128" s="28"/>
      <c r="U128" s="28"/>
      <c r="V128" s="28"/>
      <c r="W128" s="28"/>
      <c r="X128" s="28"/>
      <c r="Y128" s="30"/>
      <c r="Z128" s="28"/>
      <c r="AA128" s="28"/>
      <c r="AB128" s="28"/>
      <c r="AC128" s="28"/>
      <c r="AD128" s="28"/>
      <c r="AE128" s="28"/>
      <c r="AF128" s="28" t="str">
        <f t="shared" si="2"/>
        <v>enero</v>
      </c>
    </row>
    <row r="129" spans="1:32" x14ac:dyDescent="0.35">
      <c r="A129" s="28"/>
      <c r="B129" s="28"/>
      <c r="C129" s="28"/>
      <c r="D129" s="28"/>
      <c r="E129" s="28"/>
      <c r="F129" s="28"/>
      <c r="G129" s="28"/>
      <c r="H129" s="28"/>
      <c r="I129" s="28"/>
      <c r="J129" s="28"/>
      <c r="K129" s="29"/>
      <c r="L129" s="29"/>
      <c r="M129" s="29"/>
      <c r="N129" s="29"/>
      <c r="O129" s="29"/>
      <c r="P129" s="28"/>
      <c r="Q129" s="28"/>
      <c r="R129" s="28"/>
      <c r="S129" s="28"/>
      <c r="T129" s="28"/>
      <c r="U129" s="28"/>
      <c r="V129" s="28"/>
      <c r="W129" s="28"/>
      <c r="X129" s="28"/>
      <c r="Y129" s="30"/>
      <c r="Z129" s="28"/>
      <c r="AA129" s="28"/>
      <c r="AB129" s="28"/>
      <c r="AC129" s="28"/>
      <c r="AD129" s="28"/>
      <c r="AE129" s="28"/>
      <c r="AF129" s="28" t="str">
        <f t="shared" si="2"/>
        <v>enero</v>
      </c>
    </row>
    <row r="130" spans="1:32" x14ac:dyDescent="0.35">
      <c r="A130" s="28"/>
      <c r="B130" s="28"/>
      <c r="C130" s="28"/>
      <c r="D130" s="28"/>
      <c r="E130" s="28"/>
      <c r="F130" s="28"/>
      <c r="G130" s="28"/>
      <c r="H130" s="28"/>
      <c r="I130" s="28"/>
      <c r="J130" s="28"/>
      <c r="K130" s="29"/>
      <c r="L130" s="29"/>
      <c r="M130" s="29"/>
      <c r="N130" s="29"/>
      <c r="O130" s="29"/>
      <c r="P130" s="28"/>
      <c r="Q130" s="28"/>
      <c r="R130" s="28"/>
      <c r="S130" s="28"/>
      <c r="T130" s="28"/>
      <c r="U130" s="28"/>
      <c r="V130" s="28"/>
      <c r="W130" s="28"/>
      <c r="X130" s="28"/>
      <c r="Y130" s="30"/>
      <c r="Z130" s="28"/>
      <c r="AA130" s="28"/>
      <c r="AB130" s="28"/>
      <c r="AC130" s="28"/>
      <c r="AD130" s="28"/>
      <c r="AE130" s="28"/>
      <c r="AF130" s="28" t="str">
        <f t="shared" si="2"/>
        <v>enero</v>
      </c>
    </row>
    <row r="131" spans="1:32" x14ac:dyDescent="0.35">
      <c r="A131" s="28"/>
      <c r="B131" s="28"/>
      <c r="C131" s="28"/>
      <c r="D131" s="28"/>
      <c r="E131" s="28"/>
      <c r="F131" s="28"/>
      <c r="G131" s="28"/>
      <c r="H131" s="28"/>
      <c r="I131" s="28"/>
      <c r="J131" s="28"/>
      <c r="K131" s="29"/>
      <c r="L131" s="29"/>
      <c r="M131" s="29"/>
      <c r="N131" s="29"/>
      <c r="O131" s="29"/>
      <c r="P131" s="28"/>
      <c r="Q131" s="28"/>
      <c r="R131" s="28"/>
      <c r="S131" s="28"/>
      <c r="T131" s="28"/>
      <c r="U131" s="28"/>
      <c r="V131" s="28"/>
      <c r="W131" s="28"/>
      <c r="X131" s="28"/>
      <c r="Y131" s="30"/>
      <c r="Z131" s="28"/>
      <c r="AA131" s="28"/>
      <c r="AB131" s="28"/>
      <c r="AC131" s="28"/>
      <c r="AD131" s="28"/>
      <c r="AE131" s="28"/>
      <c r="AF131" s="28" t="str">
        <f t="shared" si="2"/>
        <v>enero</v>
      </c>
    </row>
    <row r="132" spans="1:32" x14ac:dyDescent="0.35">
      <c r="A132" s="28"/>
      <c r="B132" s="28"/>
      <c r="C132" s="28"/>
      <c r="D132" s="28"/>
      <c r="E132" s="28"/>
      <c r="F132" s="28"/>
      <c r="G132" s="28"/>
      <c r="H132" s="28"/>
      <c r="I132" s="28"/>
      <c r="J132" s="28"/>
      <c r="K132" s="29"/>
      <c r="L132" s="29"/>
      <c r="M132" s="29"/>
      <c r="N132" s="29"/>
      <c r="O132" s="29"/>
      <c r="P132" s="28"/>
      <c r="Q132" s="28"/>
      <c r="R132" s="28"/>
      <c r="S132" s="28"/>
      <c r="T132" s="28"/>
      <c r="U132" s="28"/>
      <c r="V132" s="28"/>
      <c r="W132" s="28"/>
      <c r="X132" s="28"/>
      <c r="Y132" s="30"/>
      <c r="Z132" s="28"/>
      <c r="AA132" s="28"/>
      <c r="AB132" s="28"/>
      <c r="AC132" s="28"/>
      <c r="AD132" s="28"/>
      <c r="AE132" s="28"/>
      <c r="AF132" s="28" t="str">
        <f t="shared" si="2"/>
        <v>enero</v>
      </c>
    </row>
    <row r="133" spans="1:32" x14ac:dyDescent="0.35">
      <c r="A133" s="28"/>
      <c r="B133" s="28"/>
      <c r="C133" s="28"/>
      <c r="D133" s="28"/>
      <c r="E133" s="28"/>
      <c r="F133" s="28"/>
      <c r="G133" s="28"/>
      <c r="H133" s="28"/>
      <c r="I133" s="28"/>
      <c r="J133" s="28"/>
      <c r="K133" s="29"/>
      <c r="L133" s="29"/>
      <c r="M133" s="29"/>
      <c r="N133" s="29"/>
      <c r="O133" s="29"/>
      <c r="P133" s="28"/>
      <c r="Q133" s="28"/>
      <c r="R133" s="28"/>
      <c r="S133" s="28"/>
      <c r="T133" s="28"/>
      <c r="U133" s="28"/>
      <c r="V133" s="28"/>
      <c r="W133" s="28"/>
      <c r="X133" s="28"/>
      <c r="Y133" s="30"/>
      <c r="Z133" s="28"/>
      <c r="AA133" s="28"/>
      <c r="AB133" s="28"/>
      <c r="AC133" s="28"/>
      <c r="AD133" s="28"/>
      <c r="AE133" s="28"/>
      <c r="AF133" s="28" t="str">
        <f t="shared" si="2"/>
        <v>enero</v>
      </c>
    </row>
    <row r="134" spans="1:32" x14ac:dyDescent="0.35">
      <c r="A134" s="28"/>
      <c r="B134" s="28"/>
      <c r="C134" s="28"/>
      <c r="D134" s="28"/>
      <c r="E134" s="28"/>
      <c r="F134" s="28"/>
      <c r="G134" s="28"/>
      <c r="H134" s="28"/>
      <c r="I134" s="28"/>
      <c r="J134" s="28"/>
      <c r="K134" s="29"/>
      <c r="L134" s="29"/>
      <c r="M134" s="29"/>
      <c r="N134" s="29"/>
      <c r="O134" s="29"/>
      <c r="P134" s="28"/>
      <c r="Q134" s="28"/>
      <c r="R134" s="28"/>
      <c r="S134" s="28"/>
      <c r="T134" s="28"/>
      <c r="U134" s="28"/>
      <c r="V134" s="28"/>
      <c r="W134" s="28"/>
      <c r="X134" s="28"/>
      <c r="Y134" s="30"/>
      <c r="Z134" s="28"/>
      <c r="AA134" s="28"/>
      <c r="AB134" s="28"/>
      <c r="AC134" s="28"/>
      <c r="AD134" s="28"/>
      <c r="AE134" s="28"/>
      <c r="AF134" s="28" t="str">
        <f t="shared" si="2"/>
        <v>enero</v>
      </c>
    </row>
    <row r="135" spans="1:32" x14ac:dyDescent="0.35">
      <c r="A135" s="28"/>
      <c r="B135" s="28"/>
      <c r="C135" s="28"/>
      <c r="D135" s="28"/>
      <c r="E135" s="28"/>
      <c r="F135" s="28"/>
      <c r="G135" s="28"/>
      <c r="H135" s="28"/>
      <c r="I135" s="28"/>
      <c r="J135" s="28"/>
      <c r="K135" s="29"/>
      <c r="L135" s="29"/>
      <c r="M135" s="29"/>
      <c r="N135" s="29"/>
      <c r="O135" s="29"/>
      <c r="P135" s="28"/>
      <c r="Q135" s="28"/>
      <c r="R135" s="28"/>
      <c r="S135" s="28"/>
      <c r="T135" s="28"/>
      <c r="U135" s="28"/>
      <c r="V135" s="28"/>
      <c r="W135" s="28"/>
      <c r="X135" s="28"/>
      <c r="Y135" s="30"/>
      <c r="Z135" s="28"/>
      <c r="AA135" s="28"/>
      <c r="AB135" s="28"/>
      <c r="AC135" s="28"/>
      <c r="AD135" s="28"/>
      <c r="AE135" s="28"/>
      <c r="AF135" s="28" t="str">
        <f t="shared" si="2"/>
        <v>enero</v>
      </c>
    </row>
    <row r="136" spans="1:32" x14ac:dyDescent="0.35">
      <c r="A136" s="28"/>
      <c r="B136" s="28"/>
      <c r="C136" s="28"/>
      <c r="D136" s="28"/>
      <c r="E136" s="28"/>
      <c r="F136" s="28"/>
      <c r="G136" s="28"/>
      <c r="H136" s="28"/>
      <c r="I136" s="28"/>
      <c r="J136" s="28"/>
      <c r="K136" s="29"/>
      <c r="L136" s="29"/>
      <c r="M136" s="29"/>
      <c r="N136" s="29"/>
      <c r="O136" s="29"/>
      <c r="P136" s="28"/>
      <c r="Q136" s="28"/>
      <c r="R136" s="28"/>
      <c r="S136" s="28"/>
      <c r="T136" s="28"/>
      <c r="U136" s="28"/>
      <c r="V136" s="28"/>
      <c r="W136" s="28"/>
      <c r="X136" s="28"/>
      <c r="Y136" s="30"/>
      <c r="Z136" s="28"/>
      <c r="AA136" s="28"/>
      <c r="AB136" s="28"/>
      <c r="AC136" s="28"/>
      <c r="AD136" s="28"/>
      <c r="AE136" s="28"/>
      <c r="AF136" s="28" t="str">
        <f t="shared" si="2"/>
        <v>enero</v>
      </c>
    </row>
    <row r="137" spans="1:32" x14ac:dyDescent="0.35">
      <c r="A137" s="28"/>
      <c r="B137" s="28"/>
      <c r="C137" s="28"/>
      <c r="D137" s="28"/>
      <c r="E137" s="28"/>
      <c r="F137" s="28"/>
      <c r="G137" s="28"/>
      <c r="H137" s="28"/>
      <c r="I137" s="28"/>
      <c r="J137" s="28"/>
      <c r="K137" s="29"/>
      <c r="L137" s="29"/>
      <c r="M137" s="29"/>
      <c r="N137" s="29"/>
      <c r="O137" s="29"/>
      <c r="P137" s="28"/>
      <c r="Q137" s="28"/>
      <c r="R137" s="28"/>
      <c r="S137" s="28"/>
      <c r="T137" s="28"/>
      <c r="U137" s="28"/>
      <c r="V137" s="28"/>
      <c r="W137" s="28"/>
      <c r="X137" s="28"/>
      <c r="Y137" s="30"/>
      <c r="Z137" s="28"/>
      <c r="AA137" s="28"/>
      <c r="AB137" s="28"/>
      <c r="AC137" s="28"/>
      <c r="AD137" s="28"/>
      <c r="AE137" s="28"/>
      <c r="AF137" s="28" t="str">
        <f t="shared" si="2"/>
        <v>enero</v>
      </c>
    </row>
    <row r="138" spans="1:32" x14ac:dyDescent="0.35">
      <c r="A138" s="28"/>
      <c r="B138" s="28"/>
      <c r="C138" s="28"/>
      <c r="D138" s="28"/>
      <c r="E138" s="28"/>
      <c r="F138" s="28"/>
      <c r="G138" s="28"/>
      <c r="H138" s="28"/>
      <c r="I138" s="28"/>
      <c r="J138" s="28"/>
      <c r="K138" s="29"/>
      <c r="L138" s="29"/>
      <c r="M138" s="29"/>
      <c r="N138" s="29"/>
      <c r="O138" s="29"/>
      <c r="P138" s="28"/>
      <c r="Q138" s="28"/>
      <c r="R138" s="28"/>
      <c r="S138" s="28"/>
      <c r="T138" s="28"/>
      <c r="U138" s="28"/>
      <c r="V138" s="28"/>
      <c r="W138" s="28"/>
      <c r="X138" s="28"/>
      <c r="Y138" s="30"/>
      <c r="Z138" s="28"/>
      <c r="AA138" s="28"/>
      <c r="AB138" s="28"/>
      <c r="AC138" s="28"/>
      <c r="AD138" s="28"/>
      <c r="AE138" s="28"/>
      <c r="AF138" s="28" t="str">
        <f t="shared" si="2"/>
        <v>enero</v>
      </c>
    </row>
    <row r="139" spans="1:32" x14ac:dyDescent="0.35">
      <c r="A139" s="28"/>
      <c r="B139" s="28"/>
      <c r="C139" s="28"/>
      <c r="D139" s="28"/>
      <c r="E139" s="28"/>
      <c r="F139" s="28"/>
      <c r="G139" s="28"/>
      <c r="H139" s="28"/>
      <c r="I139" s="28"/>
      <c r="J139" s="28"/>
      <c r="K139" s="29"/>
      <c r="L139" s="29"/>
      <c r="M139" s="29"/>
      <c r="N139" s="29"/>
      <c r="O139" s="29"/>
      <c r="P139" s="28"/>
      <c r="Q139" s="28"/>
      <c r="R139" s="28"/>
      <c r="S139" s="28"/>
      <c r="T139" s="28"/>
      <c r="U139" s="28"/>
      <c r="V139" s="28"/>
      <c r="W139" s="28"/>
      <c r="X139" s="28"/>
      <c r="Y139" s="30"/>
      <c r="Z139" s="28"/>
      <c r="AA139" s="28"/>
      <c r="AB139" s="28"/>
      <c r="AC139" s="28"/>
      <c r="AD139" s="28"/>
      <c r="AE139" s="28"/>
      <c r="AF139" s="28" t="str">
        <f t="shared" si="2"/>
        <v>enero</v>
      </c>
    </row>
    <row r="140" spans="1:32" x14ac:dyDescent="0.35">
      <c r="A140" s="28"/>
      <c r="B140" s="28"/>
      <c r="C140" s="28"/>
      <c r="D140" s="28"/>
      <c r="E140" s="28"/>
      <c r="F140" s="28"/>
      <c r="G140" s="28"/>
      <c r="H140" s="28"/>
      <c r="I140" s="28"/>
      <c r="J140" s="28"/>
      <c r="K140" s="29"/>
      <c r="L140" s="29"/>
      <c r="M140" s="29"/>
      <c r="N140" s="29"/>
      <c r="O140" s="29"/>
      <c r="P140" s="28"/>
      <c r="Q140" s="28"/>
      <c r="R140" s="28"/>
      <c r="S140" s="28"/>
      <c r="T140" s="28"/>
      <c r="U140" s="28"/>
      <c r="V140" s="28"/>
      <c r="W140" s="28"/>
      <c r="X140" s="28"/>
      <c r="Y140" s="30"/>
      <c r="Z140" s="28"/>
      <c r="AA140" s="28"/>
      <c r="AB140" s="28"/>
      <c r="AC140" s="28"/>
      <c r="AD140" s="28"/>
      <c r="AE140" s="28"/>
      <c r="AF140" s="28" t="str">
        <f t="shared" si="2"/>
        <v>enero</v>
      </c>
    </row>
    <row r="141" spans="1:32" x14ac:dyDescent="0.35">
      <c r="A141" s="28"/>
      <c r="B141" s="28"/>
      <c r="C141" s="28"/>
      <c r="D141" s="28"/>
      <c r="E141" s="28"/>
      <c r="F141" s="28"/>
      <c r="G141" s="28"/>
      <c r="H141" s="28"/>
      <c r="I141" s="28"/>
      <c r="J141" s="28"/>
      <c r="K141" s="29"/>
      <c r="L141" s="29"/>
      <c r="M141" s="29"/>
      <c r="N141" s="29"/>
      <c r="O141" s="29"/>
      <c r="P141" s="28"/>
      <c r="Q141" s="28"/>
      <c r="R141" s="28"/>
      <c r="S141" s="28"/>
      <c r="T141" s="28"/>
      <c r="U141" s="28"/>
      <c r="V141" s="28"/>
      <c r="W141" s="28"/>
      <c r="X141" s="28"/>
      <c r="Y141" s="30"/>
      <c r="Z141" s="28"/>
      <c r="AA141" s="28"/>
      <c r="AB141" s="28"/>
      <c r="AC141" s="28"/>
      <c r="AD141" s="28"/>
      <c r="AE141" s="28"/>
      <c r="AF141" s="28" t="str">
        <f t="shared" si="2"/>
        <v>enero</v>
      </c>
    </row>
    <row r="142" spans="1:32" x14ac:dyDescent="0.35">
      <c r="A142" s="28"/>
      <c r="B142" s="28"/>
      <c r="C142" s="28"/>
      <c r="D142" s="28"/>
      <c r="E142" s="28"/>
      <c r="F142" s="28"/>
      <c r="G142" s="28"/>
      <c r="H142" s="28"/>
      <c r="I142" s="28"/>
      <c r="J142" s="28"/>
      <c r="K142" s="29"/>
      <c r="L142" s="29"/>
      <c r="M142" s="29"/>
      <c r="N142" s="29"/>
      <c r="O142" s="29"/>
      <c r="P142" s="28"/>
      <c r="Q142" s="28"/>
      <c r="R142" s="28"/>
      <c r="S142" s="28"/>
      <c r="T142" s="28"/>
      <c r="U142" s="28"/>
      <c r="V142" s="28"/>
      <c r="W142" s="28"/>
      <c r="X142" s="28"/>
      <c r="Y142" s="30"/>
      <c r="Z142" s="28"/>
      <c r="AA142" s="28"/>
      <c r="AB142" s="28"/>
      <c r="AC142" s="28"/>
      <c r="AD142" s="28"/>
      <c r="AE142" s="28"/>
      <c r="AF142" s="28" t="str">
        <f t="shared" si="2"/>
        <v>enero</v>
      </c>
    </row>
    <row r="143" spans="1:32" x14ac:dyDescent="0.35">
      <c r="A143" s="28"/>
      <c r="B143" s="28"/>
      <c r="C143" s="28"/>
      <c r="D143" s="28"/>
      <c r="E143" s="28"/>
      <c r="F143" s="28"/>
      <c r="G143" s="28"/>
      <c r="H143" s="28"/>
      <c r="I143" s="28"/>
      <c r="J143" s="28"/>
      <c r="K143" s="29"/>
      <c r="L143" s="29"/>
      <c r="M143" s="29"/>
      <c r="N143" s="29"/>
      <c r="O143" s="29"/>
      <c r="P143" s="28"/>
      <c r="Q143" s="28"/>
      <c r="R143" s="28"/>
      <c r="S143" s="28"/>
      <c r="T143" s="28"/>
      <c r="U143" s="28"/>
      <c r="V143" s="28"/>
      <c r="W143" s="28"/>
      <c r="X143" s="28"/>
      <c r="Y143" s="30"/>
      <c r="Z143" s="28"/>
      <c r="AA143" s="28"/>
      <c r="AB143" s="28"/>
      <c r="AC143" s="28"/>
      <c r="AD143" s="28"/>
      <c r="AE143" s="28"/>
      <c r="AF143" s="28" t="str">
        <f t="shared" si="2"/>
        <v>enero</v>
      </c>
    </row>
    <row r="144" spans="1:32" x14ac:dyDescent="0.35">
      <c r="A144" s="28"/>
      <c r="B144" s="28"/>
      <c r="C144" s="28"/>
      <c r="D144" s="28"/>
      <c r="E144" s="28"/>
      <c r="F144" s="28"/>
      <c r="G144" s="28"/>
      <c r="H144" s="28"/>
      <c r="I144" s="28"/>
      <c r="J144" s="28"/>
      <c r="K144" s="29"/>
      <c r="L144" s="29"/>
      <c r="M144" s="29"/>
      <c r="N144" s="29"/>
      <c r="O144" s="29"/>
      <c r="P144" s="28"/>
      <c r="Q144" s="28"/>
      <c r="R144" s="28"/>
      <c r="S144" s="28"/>
      <c r="T144" s="28"/>
      <c r="U144" s="28"/>
      <c r="V144" s="28"/>
      <c r="W144" s="28"/>
      <c r="X144" s="28"/>
      <c r="Y144" s="30"/>
      <c r="Z144" s="28"/>
      <c r="AA144" s="28"/>
      <c r="AB144" s="28"/>
      <c r="AC144" s="28"/>
      <c r="AD144" s="28"/>
      <c r="AE144" s="28"/>
      <c r="AF144" s="28" t="str">
        <f t="shared" si="2"/>
        <v>enero</v>
      </c>
    </row>
    <row r="145" spans="1:32" x14ac:dyDescent="0.35">
      <c r="A145" s="28"/>
      <c r="B145" s="28"/>
      <c r="C145" s="28"/>
      <c r="D145" s="28"/>
      <c r="E145" s="28"/>
      <c r="F145" s="28"/>
      <c r="G145" s="28"/>
      <c r="H145" s="28"/>
      <c r="I145" s="28"/>
      <c r="J145" s="28"/>
      <c r="K145" s="29"/>
      <c r="L145" s="29"/>
      <c r="M145" s="29"/>
      <c r="N145" s="29"/>
      <c r="O145" s="29"/>
      <c r="P145" s="28"/>
      <c r="Q145" s="28"/>
      <c r="R145" s="28"/>
      <c r="S145" s="28"/>
      <c r="T145" s="28"/>
      <c r="U145" s="28"/>
      <c r="V145" s="28"/>
      <c r="W145" s="28"/>
      <c r="X145" s="28"/>
      <c r="Y145" s="30"/>
      <c r="Z145" s="28"/>
      <c r="AA145" s="28"/>
      <c r="AB145" s="28"/>
      <c r="AC145" s="28"/>
      <c r="AD145" s="28"/>
      <c r="AE145" s="28"/>
      <c r="AF145" s="28" t="str">
        <f t="shared" si="2"/>
        <v>enero</v>
      </c>
    </row>
    <row r="146" spans="1:32" x14ac:dyDescent="0.35">
      <c r="A146" s="28"/>
      <c r="B146" s="28"/>
      <c r="C146" s="28"/>
      <c r="D146" s="28"/>
      <c r="E146" s="28"/>
      <c r="F146" s="28"/>
      <c r="G146" s="28"/>
      <c r="H146" s="28"/>
      <c r="I146" s="28"/>
      <c r="J146" s="28"/>
      <c r="K146" s="29"/>
      <c r="L146" s="29"/>
      <c r="M146" s="29"/>
      <c r="N146" s="29"/>
      <c r="O146" s="29"/>
      <c r="P146" s="28"/>
      <c r="Q146" s="28"/>
      <c r="R146" s="28"/>
      <c r="S146" s="28"/>
      <c r="T146" s="28"/>
      <c r="U146" s="28"/>
      <c r="V146" s="28"/>
      <c r="W146" s="28"/>
      <c r="X146" s="28"/>
      <c r="Y146" s="30"/>
      <c r="Z146" s="28"/>
      <c r="AA146" s="28"/>
      <c r="AB146" s="28"/>
      <c r="AC146" s="28"/>
      <c r="AD146" s="28"/>
      <c r="AE146" s="28"/>
      <c r="AF146" s="28" t="str">
        <f t="shared" si="2"/>
        <v>enero</v>
      </c>
    </row>
    <row r="147" spans="1:32" x14ac:dyDescent="0.35">
      <c r="A147" s="28"/>
      <c r="B147" s="28"/>
      <c r="C147" s="28"/>
      <c r="D147" s="28"/>
      <c r="E147" s="28"/>
      <c r="F147" s="28"/>
      <c r="G147" s="28"/>
      <c r="H147" s="28"/>
      <c r="I147" s="28"/>
      <c r="J147" s="28"/>
      <c r="K147" s="29"/>
      <c r="L147" s="29"/>
      <c r="M147" s="29"/>
      <c r="N147" s="29"/>
      <c r="O147" s="29"/>
      <c r="P147" s="28"/>
      <c r="Q147" s="28"/>
      <c r="R147" s="28"/>
      <c r="S147" s="28"/>
      <c r="T147" s="28"/>
      <c r="U147" s="28"/>
      <c r="V147" s="28"/>
      <c r="W147" s="28"/>
      <c r="X147" s="28"/>
      <c r="Y147" s="30"/>
      <c r="Z147" s="28"/>
      <c r="AA147" s="28"/>
      <c r="AB147" s="28"/>
      <c r="AC147" s="28"/>
      <c r="AD147" s="28"/>
      <c r="AE147" s="28"/>
      <c r="AF147" s="28" t="str">
        <f t="shared" si="2"/>
        <v>enero</v>
      </c>
    </row>
    <row r="148" spans="1:32" x14ac:dyDescent="0.35">
      <c r="A148" s="28"/>
      <c r="B148" s="28"/>
      <c r="C148" s="28"/>
      <c r="D148" s="28"/>
      <c r="E148" s="28"/>
      <c r="F148" s="28"/>
      <c r="G148" s="28"/>
      <c r="H148" s="28"/>
      <c r="I148" s="28"/>
      <c r="J148" s="28"/>
      <c r="K148" s="29"/>
      <c r="L148" s="29"/>
      <c r="M148" s="29"/>
      <c r="N148" s="29"/>
      <c r="O148" s="29"/>
      <c r="P148" s="28"/>
      <c r="Q148" s="28"/>
      <c r="R148" s="28"/>
      <c r="S148" s="28"/>
      <c r="T148" s="28"/>
      <c r="U148" s="28"/>
      <c r="V148" s="28"/>
      <c r="W148" s="28"/>
      <c r="X148" s="28"/>
      <c r="Y148" s="30"/>
      <c r="Z148" s="28"/>
      <c r="AA148" s="28"/>
      <c r="AB148" s="28"/>
      <c r="AC148" s="28"/>
      <c r="AD148" s="28"/>
      <c r="AE148" s="28"/>
      <c r="AF148" s="28" t="str">
        <f t="shared" ref="AF148:AF170" si="3">TEXT(L148,"mmmm")</f>
        <v>enero</v>
      </c>
    </row>
    <row r="149" spans="1:32" x14ac:dyDescent="0.35">
      <c r="A149" s="28"/>
      <c r="B149" s="28"/>
      <c r="C149" s="28"/>
      <c r="D149" s="28"/>
      <c r="E149" s="28"/>
      <c r="F149" s="28"/>
      <c r="G149" s="28"/>
      <c r="H149" s="28"/>
      <c r="I149" s="28"/>
      <c r="J149" s="28"/>
      <c r="K149" s="29"/>
      <c r="L149" s="29"/>
      <c r="M149" s="29"/>
      <c r="N149" s="29"/>
      <c r="O149" s="29"/>
      <c r="P149" s="28"/>
      <c r="Q149" s="28"/>
      <c r="R149" s="28"/>
      <c r="S149" s="28"/>
      <c r="T149" s="28"/>
      <c r="U149" s="28"/>
      <c r="V149" s="28"/>
      <c r="W149" s="28"/>
      <c r="X149" s="28"/>
      <c r="Y149" s="30"/>
      <c r="Z149" s="28"/>
      <c r="AA149" s="28"/>
      <c r="AB149" s="28"/>
      <c r="AC149" s="28"/>
      <c r="AD149" s="28"/>
      <c r="AE149" s="28"/>
      <c r="AF149" s="28" t="str">
        <f t="shared" si="3"/>
        <v>enero</v>
      </c>
    </row>
    <row r="150" spans="1:32" x14ac:dyDescent="0.35">
      <c r="A150" s="28"/>
      <c r="B150" s="28"/>
      <c r="C150" s="28"/>
      <c r="D150" s="28"/>
      <c r="E150" s="28"/>
      <c r="F150" s="28"/>
      <c r="G150" s="28"/>
      <c r="H150" s="28"/>
      <c r="I150" s="28"/>
      <c r="J150" s="28"/>
      <c r="K150" s="29"/>
      <c r="L150" s="29"/>
      <c r="M150" s="29"/>
      <c r="N150" s="29"/>
      <c r="O150" s="29"/>
      <c r="P150" s="28"/>
      <c r="Q150" s="28"/>
      <c r="R150" s="28"/>
      <c r="S150" s="28"/>
      <c r="T150" s="28"/>
      <c r="U150" s="28"/>
      <c r="V150" s="28"/>
      <c r="W150" s="28"/>
      <c r="X150" s="28"/>
      <c r="Y150" s="30"/>
      <c r="Z150" s="28"/>
      <c r="AA150" s="28"/>
      <c r="AB150" s="28"/>
      <c r="AC150" s="28"/>
      <c r="AD150" s="28"/>
      <c r="AE150" s="28"/>
      <c r="AF150" s="28" t="str">
        <f t="shared" si="3"/>
        <v>enero</v>
      </c>
    </row>
    <row r="151" spans="1:32" x14ac:dyDescent="0.35">
      <c r="A151" s="28"/>
      <c r="B151" s="28"/>
      <c r="C151" s="28"/>
      <c r="D151" s="28"/>
      <c r="E151" s="28"/>
      <c r="F151" s="28"/>
      <c r="G151" s="28"/>
      <c r="H151" s="28"/>
      <c r="I151" s="28"/>
      <c r="J151" s="28"/>
      <c r="K151" s="29"/>
      <c r="L151" s="29"/>
      <c r="M151" s="29"/>
      <c r="N151" s="29"/>
      <c r="O151" s="29"/>
      <c r="P151" s="28"/>
      <c r="Q151" s="28"/>
      <c r="R151" s="28"/>
      <c r="S151" s="28"/>
      <c r="T151" s="28"/>
      <c r="U151" s="28"/>
      <c r="V151" s="28"/>
      <c r="W151" s="28"/>
      <c r="X151" s="28"/>
      <c r="Y151" s="30"/>
      <c r="Z151" s="28"/>
      <c r="AA151" s="28"/>
      <c r="AB151" s="28"/>
      <c r="AC151" s="28"/>
      <c r="AD151" s="28"/>
      <c r="AE151" s="28"/>
      <c r="AF151" s="28" t="str">
        <f t="shared" si="3"/>
        <v>enero</v>
      </c>
    </row>
    <row r="152" spans="1:32" x14ac:dyDescent="0.35">
      <c r="A152" s="28"/>
      <c r="B152" s="28"/>
      <c r="C152" s="28"/>
      <c r="D152" s="28"/>
      <c r="E152" s="28"/>
      <c r="F152" s="28"/>
      <c r="G152" s="28"/>
      <c r="H152" s="28"/>
      <c r="I152" s="28"/>
      <c r="J152" s="28"/>
      <c r="K152" s="29"/>
      <c r="L152" s="29"/>
      <c r="M152" s="29"/>
      <c r="N152" s="29"/>
      <c r="O152" s="29"/>
      <c r="P152" s="28"/>
      <c r="Q152" s="28"/>
      <c r="R152" s="28"/>
      <c r="S152" s="28"/>
      <c r="T152" s="28"/>
      <c r="U152" s="28"/>
      <c r="V152" s="28"/>
      <c r="W152" s="28"/>
      <c r="X152" s="28"/>
      <c r="Y152" s="30"/>
      <c r="Z152" s="28"/>
      <c r="AA152" s="28"/>
      <c r="AB152" s="28"/>
      <c r="AC152" s="28"/>
      <c r="AD152" s="28"/>
      <c r="AE152" s="28"/>
      <c r="AF152" s="28" t="str">
        <f t="shared" si="3"/>
        <v>enero</v>
      </c>
    </row>
    <row r="153" spans="1:32" x14ac:dyDescent="0.35">
      <c r="A153" s="28"/>
      <c r="B153" s="28"/>
      <c r="C153" s="28"/>
      <c r="D153" s="28"/>
      <c r="E153" s="28"/>
      <c r="F153" s="28"/>
      <c r="G153" s="28"/>
      <c r="H153" s="28"/>
      <c r="I153" s="28"/>
      <c r="J153" s="28"/>
      <c r="K153" s="29"/>
      <c r="L153" s="29"/>
      <c r="M153" s="29"/>
      <c r="N153" s="29"/>
      <c r="O153" s="29"/>
      <c r="P153" s="28"/>
      <c r="Q153" s="28"/>
      <c r="R153" s="28"/>
      <c r="S153" s="28"/>
      <c r="T153" s="28"/>
      <c r="U153" s="28"/>
      <c r="V153" s="28"/>
      <c r="W153" s="28"/>
      <c r="X153" s="28"/>
      <c r="Y153" s="30"/>
      <c r="Z153" s="28"/>
      <c r="AA153" s="28"/>
      <c r="AB153" s="28"/>
      <c r="AC153" s="28"/>
      <c r="AD153" s="28"/>
      <c r="AE153" s="28"/>
      <c r="AF153" s="28" t="str">
        <f t="shared" si="3"/>
        <v>enero</v>
      </c>
    </row>
    <row r="154" spans="1:32" x14ac:dyDescent="0.35">
      <c r="A154" s="28"/>
      <c r="B154" s="28"/>
      <c r="C154" s="28"/>
      <c r="D154" s="28"/>
      <c r="E154" s="28"/>
      <c r="F154" s="28"/>
      <c r="G154" s="28"/>
      <c r="H154" s="28"/>
      <c r="I154" s="28"/>
      <c r="J154" s="28"/>
      <c r="K154" s="29"/>
      <c r="L154" s="29"/>
      <c r="M154" s="29"/>
      <c r="N154" s="29"/>
      <c r="O154" s="29"/>
      <c r="P154" s="28"/>
      <c r="Q154" s="28"/>
      <c r="R154" s="28"/>
      <c r="S154" s="28"/>
      <c r="T154" s="28"/>
      <c r="U154" s="28"/>
      <c r="V154" s="28"/>
      <c r="W154" s="28"/>
      <c r="X154" s="28"/>
      <c r="Y154" s="30"/>
      <c r="Z154" s="28"/>
      <c r="AA154" s="28"/>
      <c r="AB154" s="28"/>
      <c r="AC154" s="28"/>
      <c r="AD154" s="28"/>
      <c r="AE154" s="28"/>
      <c r="AF154" s="28" t="str">
        <f t="shared" si="3"/>
        <v>enero</v>
      </c>
    </row>
    <row r="155" spans="1:32" x14ac:dyDescent="0.35">
      <c r="A155" s="28"/>
      <c r="B155" s="28"/>
      <c r="C155" s="28"/>
      <c r="D155" s="28"/>
      <c r="E155" s="28"/>
      <c r="F155" s="28"/>
      <c r="G155" s="28"/>
      <c r="H155" s="28"/>
      <c r="I155" s="28"/>
      <c r="J155" s="28"/>
      <c r="K155" s="29"/>
      <c r="L155" s="29"/>
      <c r="M155" s="29"/>
      <c r="N155" s="29"/>
      <c r="O155" s="29"/>
      <c r="P155" s="28"/>
      <c r="Q155" s="28"/>
      <c r="R155" s="28"/>
      <c r="S155" s="28"/>
      <c r="T155" s="28"/>
      <c r="U155" s="28"/>
      <c r="V155" s="28"/>
      <c r="W155" s="28"/>
      <c r="X155" s="28"/>
      <c r="Y155" s="30"/>
      <c r="Z155" s="28"/>
      <c r="AA155" s="28"/>
      <c r="AB155" s="28"/>
      <c r="AC155" s="28"/>
      <c r="AD155" s="28"/>
      <c r="AE155" s="28"/>
      <c r="AF155" s="28" t="str">
        <f t="shared" si="3"/>
        <v>enero</v>
      </c>
    </row>
    <row r="156" spans="1:32" x14ac:dyDescent="0.35">
      <c r="A156" s="28"/>
      <c r="B156" s="28"/>
      <c r="C156" s="28"/>
      <c r="D156" s="28"/>
      <c r="E156" s="28"/>
      <c r="F156" s="28"/>
      <c r="G156" s="28"/>
      <c r="H156" s="28"/>
      <c r="I156" s="28"/>
      <c r="J156" s="28"/>
      <c r="K156" s="29"/>
      <c r="L156" s="29"/>
      <c r="M156" s="29"/>
      <c r="N156" s="29"/>
      <c r="O156" s="29"/>
      <c r="P156" s="28"/>
      <c r="Q156" s="28"/>
      <c r="R156" s="28"/>
      <c r="S156" s="28"/>
      <c r="T156" s="28"/>
      <c r="U156" s="28"/>
      <c r="V156" s="28"/>
      <c r="W156" s="28"/>
      <c r="X156" s="28"/>
      <c r="Y156" s="30"/>
      <c r="Z156" s="28"/>
      <c r="AA156" s="28"/>
      <c r="AB156" s="28"/>
      <c r="AC156" s="28"/>
      <c r="AD156" s="28"/>
      <c r="AE156" s="28"/>
      <c r="AF156" s="28" t="str">
        <f t="shared" si="3"/>
        <v>enero</v>
      </c>
    </row>
    <row r="157" spans="1:32" x14ac:dyDescent="0.35">
      <c r="A157" s="28"/>
      <c r="B157" s="28"/>
      <c r="C157" s="28"/>
      <c r="D157" s="28"/>
      <c r="E157" s="28"/>
      <c r="F157" s="28"/>
      <c r="G157" s="28"/>
      <c r="H157" s="28"/>
      <c r="I157" s="28"/>
      <c r="J157" s="28"/>
      <c r="K157" s="29"/>
      <c r="L157" s="29"/>
      <c r="M157" s="29"/>
      <c r="N157" s="29"/>
      <c r="O157" s="29"/>
      <c r="P157" s="28"/>
      <c r="Q157" s="28"/>
      <c r="R157" s="28"/>
      <c r="S157" s="28"/>
      <c r="T157" s="28"/>
      <c r="U157" s="28"/>
      <c r="V157" s="28"/>
      <c r="W157" s="28"/>
      <c r="X157" s="28"/>
      <c r="Y157" s="30"/>
      <c r="Z157" s="28"/>
      <c r="AA157" s="28"/>
      <c r="AB157" s="28"/>
      <c r="AC157" s="28"/>
      <c r="AD157" s="28"/>
      <c r="AE157" s="28"/>
      <c r="AF157" s="28" t="str">
        <f t="shared" si="3"/>
        <v>enero</v>
      </c>
    </row>
    <row r="158" spans="1:32" x14ac:dyDescent="0.35">
      <c r="A158" s="28"/>
      <c r="B158" s="28"/>
      <c r="C158" s="28"/>
      <c r="D158" s="28"/>
      <c r="E158" s="28"/>
      <c r="F158" s="28"/>
      <c r="G158" s="28"/>
      <c r="H158" s="28"/>
      <c r="I158" s="28"/>
      <c r="J158" s="28"/>
      <c r="K158" s="29"/>
      <c r="L158" s="29"/>
      <c r="M158" s="29"/>
      <c r="N158" s="29"/>
      <c r="O158" s="29"/>
      <c r="P158" s="28"/>
      <c r="Q158" s="28"/>
      <c r="R158" s="28"/>
      <c r="S158" s="28"/>
      <c r="T158" s="28"/>
      <c r="U158" s="28"/>
      <c r="V158" s="28"/>
      <c r="W158" s="28"/>
      <c r="X158" s="28"/>
      <c r="Y158" s="30"/>
      <c r="Z158" s="28"/>
      <c r="AA158" s="28"/>
      <c r="AB158" s="28"/>
      <c r="AC158" s="28"/>
      <c r="AD158" s="28"/>
      <c r="AE158" s="28"/>
      <c r="AF158" s="28" t="str">
        <f t="shared" si="3"/>
        <v>enero</v>
      </c>
    </row>
    <row r="159" spans="1:32" x14ac:dyDescent="0.35">
      <c r="A159" s="28"/>
      <c r="B159" s="28"/>
      <c r="C159" s="28"/>
      <c r="D159" s="28"/>
      <c r="E159" s="28"/>
      <c r="F159" s="28"/>
      <c r="G159" s="28"/>
      <c r="H159" s="28"/>
      <c r="I159" s="28"/>
      <c r="J159" s="28"/>
      <c r="K159" s="29"/>
      <c r="L159" s="29"/>
      <c r="M159" s="29"/>
      <c r="N159" s="29"/>
      <c r="O159" s="29"/>
      <c r="P159" s="28"/>
      <c r="Q159" s="28"/>
      <c r="R159" s="28"/>
      <c r="S159" s="28"/>
      <c r="T159" s="28"/>
      <c r="U159" s="28"/>
      <c r="V159" s="28"/>
      <c r="W159" s="28"/>
      <c r="X159" s="28"/>
      <c r="Y159" s="30"/>
      <c r="Z159" s="28"/>
      <c r="AA159" s="28"/>
      <c r="AB159" s="28"/>
      <c r="AC159" s="28"/>
      <c r="AD159" s="28"/>
      <c r="AE159" s="28"/>
      <c r="AF159" s="28" t="str">
        <f t="shared" si="3"/>
        <v>enero</v>
      </c>
    </row>
    <row r="160" spans="1:32" x14ac:dyDescent="0.35">
      <c r="A160" s="28"/>
      <c r="B160" s="28"/>
      <c r="C160" s="28"/>
      <c r="D160" s="28"/>
      <c r="E160" s="28"/>
      <c r="F160" s="28"/>
      <c r="G160" s="28"/>
      <c r="H160" s="28"/>
      <c r="I160" s="28"/>
      <c r="J160" s="28"/>
      <c r="K160" s="29"/>
      <c r="L160" s="29"/>
      <c r="M160" s="29"/>
      <c r="N160" s="29"/>
      <c r="O160" s="29"/>
      <c r="P160" s="28"/>
      <c r="Q160" s="28"/>
      <c r="R160" s="28"/>
      <c r="S160" s="28"/>
      <c r="T160" s="28"/>
      <c r="U160" s="28"/>
      <c r="V160" s="28"/>
      <c r="W160" s="28"/>
      <c r="X160" s="28"/>
      <c r="Y160" s="30"/>
      <c r="Z160" s="28"/>
      <c r="AA160" s="28"/>
      <c r="AB160" s="28"/>
      <c r="AC160" s="28"/>
      <c r="AD160" s="28"/>
      <c r="AE160" s="28"/>
      <c r="AF160" s="28" t="str">
        <f t="shared" si="3"/>
        <v>enero</v>
      </c>
    </row>
    <row r="161" spans="1:32" x14ac:dyDescent="0.35">
      <c r="A161" s="28"/>
      <c r="B161" s="28"/>
      <c r="C161" s="28"/>
      <c r="D161" s="28"/>
      <c r="E161" s="28"/>
      <c r="F161" s="28"/>
      <c r="G161" s="28"/>
      <c r="H161" s="28"/>
      <c r="I161" s="28"/>
      <c r="J161" s="28"/>
      <c r="K161" s="29"/>
      <c r="L161" s="29"/>
      <c r="M161" s="29"/>
      <c r="N161" s="29"/>
      <c r="O161" s="29"/>
      <c r="P161" s="28"/>
      <c r="Q161" s="28"/>
      <c r="R161" s="28"/>
      <c r="S161" s="28"/>
      <c r="T161" s="28"/>
      <c r="U161" s="28"/>
      <c r="V161" s="28"/>
      <c r="W161" s="28"/>
      <c r="X161" s="28"/>
      <c r="Y161" s="30"/>
      <c r="Z161" s="28"/>
      <c r="AA161" s="28"/>
      <c r="AB161" s="28"/>
      <c r="AC161" s="28"/>
      <c r="AD161" s="28"/>
      <c r="AE161" s="28"/>
      <c r="AF161" s="28" t="str">
        <f t="shared" si="3"/>
        <v>enero</v>
      </c>
    </row>
    <row r="162" spans="1:32" x14ac:dyDescent="0.35">
      <c r="A162" s="28"/>
      <c r="B162" s="28"/>
      <c r="C162" s="28"/>
      <c r="D162" s="28"/>
      <c r="E162" s="28"/>
      <c r="F162" s="28"/>
      <c r="G162" s="28"/>
      <c r="H162" s="28"/>
      <c r="I162" s="28"/>
      <c r="J162" s="28"/>
      <c r="K162" s="29"/>
      <c r="L162" s="29"/>
      <c r="M162" s="29"/>
      <c r="N162" s="29"/>
      <c r="O162" s="29"/>
      <c r="P162" s="28"/>
      <c r="Q162" s="28"/>
      <c r="R162" s="28"/>
      <c r="S162" s="28"/>
      <c r="T162" s="28"/>
      <c r="U162" s="28"/>
      <c r="V162" s="28"/>
      <c r="W162" s="28"/>
      <c r="X162" s="28"/>
      <c r="Y162" s="30"/>
      <c r="Z162" s="28"/>
      <c r="AA162" s="28"/>
      <c r="AB162" s="28"/>
      <c r="AC162" s="28"/>
      <c r="AD162" s="28"/>
      <c r="AE162" s="28"/>
      <c r="AF162" s="28" t="str">
        <f t="shared" si="3"/>
        <v>enero</v>
      </c>
    </row>
    <row r="163" spans="1:32" x14ac:dyDescent="0.35">
      <c r="A163" s="28"/>
      <c r="B163" s="28"/>
      <c r="C163" s="28"/>
      <c r="D163" s="28"/>
      <c r="E163" s="28"/>
      <c r="F163" s="28"/>
      <c r="G163" s="28"/>
      <c r="H163" s="28"/>
      <c r="I163" s="28"/>
      <c r="J163" s="28"/>
      <c r="K163" s="29"/>
      <c r="L163" s="29"/>
      <c r="M163" s="29"/>
      <c r="N163" s="29"/>
      <c r="O163" s="29"/>
      <c r="P163" s="28"/>
      <c r="Q163" s="28"/>
      <c r="R163" s="28"/>
      <c r="S163" s="28"/>
      <c r="T163" s="28"/>
      <c r="U163" s="28"/>
      <c r="V163" s="28"/>
      <c r="W163" s="28"/>
      <c r="X163" s="28"/>
      <c r="Y163" s="30"/>
      <c r="Z163" s="28"/>
      <c r="AA163" s="28"/>
      <c r="AB163" s="28"/>
      <c r="AC163" s="28"/>
      <c r="AD163" s="28"/>
      <c r="AE163" s="28"/>
      <c r="AF163" s="28" t="str">
        <f t="shared" si="3"/>
        <v>enero</v>
      </c>
    </row>
    <row r="164" spans="1:32" x14ac:dyDescent="0.35">
      <c r="A164" s="28"/>
      <c r="B164" s="28"/>
      <c r="C164" s="28"/>
      <c r="D164" s="28"/>
      <c r="E164" s="28"/>
      <c r="F164" s="28"/>
      <c r="G164" s="28"/>
      <c r="H164" s="28"/>
      <c r="I164" s="28"/>
      <c r="J164" s="28"/>
      <c r="K164" s="29"/>
      <c r="L164" s="29"/>
      <c r="M164" s="29"/>
      <c r="N164" s="29"/>
      <c r="O164" s="29"/>
      <c r="P164" s="28"/>
      <c r="Q164" s="28"/>
      <c r="R164" s="28"/>
      <c r="S164" s="28"/>
      <c r="T164" s="28"/>
      <c r="U164" s="28"/>
      <c r="V164" s="28"/>
      <c r="W164" s="28"/>
      <c r="X164" s="28"/>
      <c r="Y164" s="30"/>
      <c r="Z164" s="28"/>
      <c r="AA164" s="28"/>
      <c r="AB164" s="28"/>
      <c r="AC164" s="28"/>
      <c r="AD164" s="28"/>
      <c r="AE164" s="28"/>
      <c r="AF164" s="28" t="str">
        <f t="shared" si="3"/>
        <v>enero</v>
      </c>
    </row>
    <row r="165" spans="1:32" x14ac:dyDescent="0.35">
      <c r="A165" s="28"/>
      <c r="B165" s="28"/>
      <c r="C165" s="28"/>
      <c r="D165" s="28"/>
      <c r="E165" s="28"/>
      <c r="F165" s="28"/>
      <c r="G165" s="28"/>
      <c r="H165" s="28"/>
      <c r="I165" s="28"/>
      <c r="J165" s="28"/>
      <c r="K165" s="29"/>
      <c r="L165" s="29"/>
      <c r="M165" s="29"/>
      <c r="N165" s="29"/>
      <c r="O165" s="29"/>
      <c r="P165" s="28"/>
      <c r="Q165" s="28"/>
      <c r="R165" s="28"/>
      <c r="S165" s="28"/>
      <c r="T165" s="28"/>
      <c r="U165" s="28"/>
      <c r="V165" s="28"/>
      <c r="W165" s="28"/>
      <c r="X165" s="28"/>
      <c r="Y165" s="30"/>
      <c r="Z165" s="28"/>
      <c r="AA165" s="28"/>
      <c r="AB165" s="28"/>
      <c r="AC165" s="28"/>
      <c r="AD165" s="28"/>
      <c r="AE165" s="28"/>
      <c r="AF165" s="28" t="str">
        <f t="shared" si="3"/>
        <v>enero</v>
      </c>
    </row>
    <row r="166" spans="1:32" x14ac:dyDescent="0.35">
      <c r="A166" s="28"/>
      <c r="B166" s="28"/>
      <c r="C166" s="28"/>
      <c r="D166" s="28"/>
      <c r="E166" s="28"/>
      <c r="F166" s="28"/>
      <c r="G166" s="28"/>
      <c r="H166" s="28"/>
      <c r="I166" s="28"/>
      <c r="J166" s="28"/>
      <c r="K166" s="29"/>
      <c r="L166" s="29"/>
      <c r="M166" s="29"/>
      <c r="N166" s="29"/>
      <c r="O166" s="29"/>
      <c r="P166" s="28"/>
      <c r="Q166" s="28"/>
      <c r="R166" s="28"/>
      <c r="S166" s="28"/>
      <c r="T166" s="28"/>
      <c r="U166" s="28"/>
      <c r="V166" s="28"/>
      <c r="W166" s="28"/>
      <c r="X166" s="28"/>
      <c r="Y166" s="30"/>
      <c r="Z166" s="28"/>
      <c r="AA166" s="28"/>
      <c r="AB166" s="28"/>
      <c r="AC166" s="28"/>
      <c r="AD166" s="28"/>
      <c r="AE166" s="28"/>
      <c r="AF166" s="28" t="str">
        <f t="shared" si="3"/>
        <v>enero</v>
      </c>
    </row>
    <row r="167" spans="1:32" x14ac:dyDescent="0.35">
      <c r="A167" s="28"/>
      <c r="B167" s="28"/>
      <c r="C167" s="28"/>
      <c r="D167" s="28"/>
      <c r="E167" s="28"/>
      <c r="F167" s="28"/>
      <c r="G167" s="28"/>
      <c r="H167" s="28"/>
      <c r="I167" s="28"/>
      <c r="J167" s="28"/>
      <c r="K167" s="29"/>
      <c r="L167" s="29"/>
      <c r="M167" s="29"/>
      <c r="N167" s="29"/>
      <c r="O167" s="29"/>
      <c r="P167" s="28"/>
      <c r="Q167" s="28"/>
      <c r="R167" s="28"/>
      <c r="S167" s="28"/>
      <c r="T167" s="28"/>
      <c r="U167" s="28"/>
      <c r="V167" s="28"/>
      <c r="W167" s="28"/>
      <c r="X167" s="28"/>
      <c r="Y167" s="30"/>
      <c r="Z167" s="28"/>
      <c r="AA167" s="28"/>
      <c r="AB167" s="28"/>
      <c r="AC167" s="28"/>
      <c r="AD167" s="28"/>
      <c r="AE167" s="28"/>
      <c r="AF167" s="28" t="str">
        <f t="shared" si="3"/>
        <v>enero</v>
      </c>
    </row>
    <row r="168" spans="1:32" x14ac:dyDescent="0.35">
      <c r="A168" s="28"/>
      <c r="B168" s="28"/>
      <c r="C168" s="28"/>
      <c r="D168" s="28"/>
      <c r="E168" s="28"/>
      <c r="F168" s="28"/>
      <c r="G168" s="28"/>
      <c r="H168" s="28"/>
      <c r="I168" s="28"/>
      <c r="J168" s="28"/>
      <c r="K168" s="29"/>
      <c r="L168" s="29"/>
      <c r="M168" s="29"/>
      <c r="N168" s="29"/>
      <c r="O168" s="29"/>
      <c r="P168" s="28"/>
      <c r="Q168" s="28"/>
      <c r="R168" s="28"/>
      <c r="S168" s="28"/>
      <c r="T168" s="28"/>
      <c r="U168" s="28"/>
      <c r="V168" s="28"/>
      <c r="W168" s="28"/>
      <c r="X168" s="28"/>
      <c r="Y168" s="30"/>
      <c r="Z168" s="28"/>
      <c r="AA168" s="28"/>
      <c r="AB168" s="28"/>
      <c r="AC168" s="28"/>
      <c r="AD168" s="28"/>
      <c r="AE168" s="28"/>
      <c r="AF168" s="28" t="str">
        <f t="shared" si="3"/>
        <v>enero</v>
      </c>
    </row>
    <row r="169" spans="1:32" x14ac:dyDescent="0.35">
      <c r="A169" s="28"/>
      <c r="B169" s="28"/>
      <c r="C169" s="28"/>
      <c r="D169" s="28"/>
      <c r="E169" s="28"/>
      <c r="F169" s="28"/>
      <c r="G169" s="28"/>
      <c r="H169" s="28"/>
      <c r="I169" s="28"/>
      <c r="J169" s="28"/>
      <c r="K169" s="29"/>
      <c r="L169" s="29"/>
      <c r="M169" s="29"/>
      <c r="N169" s="29"/>
      <c r="O169" s="29"/>
      <c r="P169" s="28"/>
      <c r="Q169" s="28"/>
      <c r="R169" s="28"/>
      <c r="S169" s="28"/>
      <c r="T169" s="28"/>
      <c r="U169" s="28"/>
      <c r="V169" s="28"/>
      <c r="W169" s="28"/>
      <c r="X169" s="28"/>
      <c r="Y169" s="30"/>
      <c r="Z169" s="28"/>
      <c r="AA169" s="28"/>
      <c r="AB169" s="28"/>
      <c r="AC169" s="28"/>
      <c r="AD169" s="28"/>
      <c r="AE169" s="28"/>
      <c r="AF169" s="28" t="str">
        <f t="shared" si="3"/>
        <v>enero</v>
      </c>
    </row>
    <row r="170" spans="1:32" x14ac:dyDescent="0.35">
      <c r="A170" s="28"/>
      <c r="B170" s="28"/>
      <c r="C170" s="28"/>
      <c r="D170" s="28"/>
      <c r="E170" s="28"/>
      <c r="F170" s="28"/>
      <c r="G170" s="28"/>
      <c r="H170" s="28"/>
      <c r="I170" s="28"/>
      <c r="J170" s="28"/>
      <c r="K170" s="29"/>
      <c r="L170" s="29"/>
      <c r="M170" s="29"/>
      <c r="N170" s="29"/>
      <c r="O170" s="29"/>
      <c r="P170" s="28"/>
      <c r="Q170" s="28"/>
      <c r="R170" s="28"/>
      <c r="S170" s="28"/>
      <c r="T170" s="28"/>
      <c r="U170" s="28"/>
      <c r="V170" s="28"/>
      <c r="W170" s="28"/>
      <c r="X170" s="28"/>
      <c r="Y170" s="30"/>
      <c r="Z170" s="28"/>
      <c r="AA170" s="28"/>
      <c r="AB170" s="28"/>
      <c r="AC170" s="28"/>
      <c r="AD170" s="28"/>
      <c r="AE170" s="28"/>
      <c r="AF170" s="28" t="str">
        <f t="shared" si="3"/>
        <v>enero</v>
      </c>
    </row>
    <row r="171" spans="1:32" x14ac:dyDescent="0.35">
      <c r="A171" s="28"/>
      <c r="B171" s="28"/>
      <c r="C171" s="28"/>
      <c r="D171" s="28"/>
      <c r="E171" s="28"/>
      <c r="F171" s="28"/>
      <c r="G171" s="28"/>
      <c r="H171" s="28"/>
      <c r="I171" s="28"/>
      <c r="J171" s="28"/>
      <c r="K171" s="29"/>
      <c r="L171" s="29"/>
      <c r="M171" s="29"/>
      <c r="N171" s="29"/>
      <c r="O171" s="29"/>
      <c r="P171" s="28"/>
      <c r="Q171" s="28"/>
      <c r="R171" s="28"/>
      <c r="S171" s="28"/>
      <c r="T171" s="28"/>
      <c r="U171" s="28"/>
      <c r="V171" s="28"/>
      <c r="W171" s="28"/>
      <c r="X171" s="28"/>
      <c r="Y171" s="30"/>
      <c r="Z171" s="28"/>
      <c r="AA171" s="28"/>
      <c r="AB171" s="28"/>
      <c r="AC171" s="28"/>
      <c r="AD171" s="28"/>
      <c r="AE171" s="28"/>
    </row>
    <row r="172" spans="1:32" x14ac:dyDescent="0.35">
      <c r="A172" s="28"/>
      <c r="B172" s="28"/>
      <c r="C172" s="28"/>
      <c r="D172" s="28"/>
      <c r="E172" s="28"/>
      <c r="F172" s="28"/>
      <c r="G172" s="28"/>
      <c r="H172" s="28"/>
      <c r="I172" s="28"/>
      <c r="J172" s="28"/>
      <c r="K172" s="29"/>
      <c r="L172" s="29"/>
      <c r="M172" s="29"/>
      <c r="N172" s="29"/>
      <c r="O172" s="29"/>
      <c r="P172" s="28"/>
      <c r="Q172" s="28"/>
      <c r="R172" s="28"/>
      <c r="S172" s="28"/>
      <c r="T172" s="28"/>
      <c r="U172" s="28"/>
      <c r="V172" s="28"/>
      <c r="W172" s="28"/>
      <c r="X172" s="28"/>
      <c r="Y172" s="30"/>
      <c r="Z172" s="28"/>
      <c r="AA172" s="28"/>
      <c r="AB172" s="28"/>
      <c r="AC172" s="28"/>
      <c r="AD172" s="28"/>
      <c r="AE172" s="28"/>
    </row>
    <row r="173" spans="1:32" x14ac:dyDescent="0.35">
      <c r="A173" s="28"/>
      <c r="B173" s="28"/>
      <c r="C173" s="28"/>
      <c r="D173" s="28"/>
      <c r="E173" s="28"/>
      <c r="F173" s="28"/>
      <c r="G173" s="28"/>
      <c r="H173" s="28"/>
      <c r="I173" s="28"/>
      <c r="J173" s="28"/>
      <c r="K173" s="29"/>
      <c r="L173" s="29"/>
      <c r="M173" s="29"/>
      <c r="N173" s="29"/>
      <c r="O173" s="29"/>
      <c r="P173" s="28"/>
      <c r="Q173" s="28"/>
      <c r="R173" s="28"/>
      <c r="S173" s="28"/>
      <c r="T173" s="28"/>
      <c r="U173" s="28"/>
      <c r="V173" s="28"/>
      <c r="W173" s="28"/>
      <c r="X173" s="28"/>
      <c r="Y173" s="30"/>
      <c r="Z173" s="28"/>
      <c r="AA173" s="28"/>
      <c r="AB173" s="28"/>
      <c r="AC173" s="28"/>
      <c r="AD173" s="28"/>
      <c r="AE173" s="28"/>
    </row>
    <row r="174" spans="1:32" x14ac:dyDescent="0.35">
      <c r="A174" s="28"/>
      <c r="B174" s="28"/>
      <c r="C174" s="28"/>
      <c r="D174" s="28"/>
      <c r="E174" s="28"/>
      <c r="F174" s="28"/>
      <c r="G174" s="28"/>
      <c r="H174" s="28"/>
      <c r="I174" s="28"/>
      <c r="J174" s="28"/>
      <c r="K174" s="29"/>
      <c r="L174" s="29"/>
      <c r="M174" s="29"/>
      <c r="N174" s="29"/>
      <c r="O174" s="29"/>
      <c r="P174" s="28"/>
      <c r="Q174" s="28"/>
      <c r="R174" s="28"/>
      <c r="S174" s="28"/>
      <c r="T174" s="28"/>
      <c r="U174" s="28"/>
      <c r="V174" s="28"/>
      <c r="W174" s="28"/>
      <c r="X174" s="28"/>
      <c r="Y174" s="30"/>
      <c r="Z174" s="28"/>
      <c r="AA174" s="28"/>
      <c r="AB174" s="28"/>
      <c r="AC174" s="28"/>
      <c r="AD174" s="28"/>
      <c r="AE174" s="28"/>
    </row>
    <row r="175" spans="1:32" x14ac:dyDescent="0.35">
      <c r="A175" s="28"/>
      <c r="B175" s="28"/>
      <c r="C175" s="28"/>
      <c r="D175" s="28"/>
      <c r="E175" s="28"/>
      <c r="F175" s="28"/>
      <c r="G175" s="28"/>
      <c r="H175" s="28"/>
      <c r="I175" s="28"/>
      <c r="J175" s="28"/>
      <c r="K175" s="29"/>
      <c r="L175" s="29"/>
      <c r="M175" s="29"/>
      <c r="N175" s="29"/>
      <c r="O175" s="29"/>
      <c r="P175" s="28"/>
      <c r="Q175" s="28"/>
      <c r="R175" s="28"/>
      <c r="S175" s="28"/>
      <c r="T175" s="28"/>
      <c r="U175" s="28"/>
      <c r="V175" s="28"/>
      <c r="W175" s="28"/>
      <c r="X175" s="28"/>
      <c r="Y175" s="30"/>
      <c r="Z175" s="28"/>
      <c r="AA175" s="28"/>
      <c r="AB175" s="28"/>
      <c r="AC175" s="28"/>
      <c r="AD175" s="28"/>
      <c r="AE175" s="28"/>
    </row>
    <row r="176" spans="1:32" x14ac:dyDescent="0.35">
      <c r="A176" s="28"/>
      <c r="B176" s="28"/>
      <c r="C176" s="28"/>
      <c r="D176" s="28"/>
      <c r="E176" s="28"/>
      <c r="F176" s="28"/>
      <c r="G176" s="28"/>
      <c r="H176" s="28"/>
      <c r="I176" s="28"/>
      <c r="J176" s="28"/>
      <c r="K176" s="29"/>
      <c r="L176" s="29"/>
      <c r="M176" s="29"/>
      <c r="N176" s="29"/>
      <c r="O176" s="29"/>
      <c r="P176" s="28"/>
      <c r="Q176" s="28"/>
      <c r="R176" s="28"/>
      <c r="S176" s="28"/>
      <c r="T176" s="28"/>
      <c r="U176" s="28"/>
      <c r="V176" s="28"/>
      <c r="W176" s="28"/>
      <c r="X176" s="28"/>
      <c r="Y176" s="30"/>
      <c r="Z176" s="28"/>
      <c r="AA176" s="28"/>
      <c r="AB176" s="28"/>
      <c r="AC176" s="28"/>
      <c r="AD176" s="28"/>
      <c r="AE176" s="28"/>
    </row>
    <row r="177" spans="1:31" x14ac:dyDescent="0.35">
      <c r="A177" s="28"/>
      <c r="B177" s="28"/>
      <c r="C177" s="28"/>
      <c r="D177" s="28"/>
      <c r="E177" s="28"/>
      <c r="F177" s="28"/>
      <c r="G177" s="28"/>
      <c r="H177" s="28"/>
      <c r="I177" s="28"/>
      <c r="J177" s="28"/>
      <c r="K177" s="29"/>
      <c r="L177" s="29"/>
      <c r="M177" s="29"/>
      <c r="N177" s="29"/>
      <c r="O177" s="29"/>
      <c r="P177" s="28"/>
      <c r="Q177" s="28"/>
      <c r="R177" s="28"/>
      <c r="S177" s="28"/>
      <c r="T177" s="28"/>
      <c r="U177" s="28"/>
      <c r="V177" s="28"/>
      <c r="W177" s="28"/>
      <c r="X177" s="28"/>
      <c r="Y177" s="30"/>
      <c r="Z177" s="28"/>
      <c r="AA177" s="28"/>
      <c r="AB177" s="28"/>
      <c r="AC177" s="28"/>
      <c r="AD177" s="28"/>
      <c r="AE177" s="28"/>
    </row>
    <row r="178" spans="1:31" x14ac:dyDescent="0.35">
      <c r="A178" s="28"/>
      <c r="B178" s="28"/>
      <c r="C178" s="28"/>
      <c r="D178" s="28"/>
      <c r="E178" s="28"/>
      <c r="F178" s="28"/>
      <c r="G178" s="28"/>
      <c r="H178" s="28"/>
      <c r="I178" s="28"/>
      <c r="J178" s="28"/>
      <c r="K178" s="29"/>
      <c r="L178" s="29"/>
      <c r="M178" s="29"/>
      <c r="N178" s="29"/>
      <c r="O178" s="29"/>
      <c r="P178" s="28"/>
      <c r="Q178" s="28"/>
      <c r="R178" s="28"/>
      <c r="S178" s="28"/>
      <c r="T178" s="28"/>
      <c r="U178" s="28"/>
      <c r="V178" s="28"/>
      <c r="W178" s="28"/>
      <c r="X178" s="28"/>
      <c r="Y178" s="30"/>
      <c r="Z178" s="28"/>
      <c r="AA178" s="28"/>
      <c r="AB178" s="28"/>
      <c r="AC178" s="28"/>
      <c r="AD178" s="28"/>
      <c r="AE178" s="28"/>
    </row>
    <row r="179" spans="1:31" x14ac:dyDescent="0.35">
      <c r="A179" s="28"/>
      <c r="B179" s="28"/>
      <c r="C179" s="28"/>
      <c r="D179" s="28"/>
      <c r="E179" s="28"/>
      <c r="F179" s="28"/>
      <c r="G179" s="28"/>
      <c r="H179" s="28"/>
      <c r="I179" s="28"/>
      <c r="J179" s="28"/>
      <c r="K179" s="29"/>
      <c r="L179" s="29"/>
      <c r="M179" s="29"/>
      <c r="N179" s="29"/>
      <c r="O179" s="29"/>
      <c r="P179" s="28"/>
      <c r="Q179" s="28"/>
      <c r="R179" s="28"/>
      <c r="S179" s="28"/>
      <c r="T179" s="28"/>
      <c r="U179" s="28"/>
      <c r="V179" s="28"/>
      <c r="W179" s="28"/>
      <c r="X179" s="28"/>
      <c r="Y179" s="30"/>
      <c r="Z179" s="28"/>
      <c r="AA179" s="28"/>
      <c r="AB179" s="28"/>
      <c r="AC179" s="28"/>
      <c r="AD179" s="28"/>
      <c r="AE179" s="28"/>
    </row>
    <row r="180" spans="1:31" x14ac:dyDescent="0.35">
      <c r="A180" s="28"/>
      <c r="B180" s="28"/>
      <c r="C180" s="28"/>
      <c r="D180" s="28"/>
      <c r="E180" s="28"/>
      <c r="F180" s="28"/>
      <c r="G180" s="28"/>
      <c r="H180" s="28"/>
      <c r="I180" s="28"/>
      <c r="J180" s="28"/>
      <c r="K180" s="29"/>
      <c r="L180" s="29"/>
      <c r="M180" s="29"/>
      <c r="N180" s="29"/>
      <c r="O180" s="29"/>
      <c r="P180" s="28"/>
      <c r="Q180" s="28"/>
      <c r="R180" s="28"/>
      <c r="S180" s="28"/>
      <c r="T180" s="28"/>
      <c r="U180" s="28"/>
      <c r="V180" s="28"/>
      <c r="W180" s="28"/>
      <c r="X180" s="28"/>
      <c r="Y180" s="30"/>
      <c r="Z180" s="28"/>
      <c r="AA180" s="28"/>
      <c r="AB180" s="28"/>
      <c r="AC180" s="28"/>
      <c r="AD180" s="28"/>
      <c r="AE180" s="28"/>
    </row>
    <row r="181" spans="1:31" x14ac:dyDescent="0.35">
      <c r="A181" s="28"/>
      <c r="B181" s="28"/>
      <c r="C181" s="28"/>
      <c r="D181" s="28"/>
      <c r="E181" s="28"/>
      <c r="F181" s="28"/>
      <c r="G181" s="28"/>
      <c r="H181" s="28"/>
      <c r="I181" s="28"/>
      <c r="J181" s="28"/>
      <c r="K181" s="29"/>
      <c r="L181" s="29"/>
      <c r="M181" s="29"/>
      <c r="N181" s="29"/>
      <c r="O181" s="29"/>
      <c r="P181" s="28"/>
      <c r="Q181" s="28"/>
      <c r="R181" s="28"/>
      <c r="S181" s="28"/>
      <c r="T181" s="28"/>
      <c r="U181" s="28"/>
      <c r="V181" s="28"/>
      <c r="W181" s="28"/>
      <c r="X181" s="28"/>
      <c r="Y181" s="30"/>
      <c r="Z181" s="28"/>
      <c r="AA181" s="28"/>
      <c r="AB181" s="28"/>
      <c r="AC181" s="28"/>
      <c r="AD181" s="28"/>
      <c r="AE181" s="28"/>
    </row>
    <row r="182" spans="1:31" x14ac:dyDescent="0.35">
      <c r="A182" s="28"/>
      <c r="B182" s="28"/>
      <c r="C182" s="28"/>
      <c r="D182" s="28"/>
      <c r="E182" s="28"/>
      <c r="F182" s="28"/>
      <c r="G182" s="28"/>
      <c r="H182" s="28"/>
      <c r="I182" s="28"/>
      <c r="J182" s="28"/>
      <c r="K182" s="29"/>
      <c r="L182" s="29"/>
      <c r="M182" s="29"/>
      <c r="N182" s="29"/>
      <c r="O182" s="29"/>
      <c r="P182" s="28"/>
      <c r="Q182" s="28"/>
      <c r="R182" s="28"/>
      <c r="S182" s="28"/>
      <c r="T182" s="28"/>
      <c r="U182" s="28"/>
      <c r="V182" s="28"/>
      <c r="W182" s="28"/>
      <c r="X182" s="28"/>
      <c r="Y182" s="30"/>
      <c r="Z182" s="28"/>
      <c r="AA182" s="28"/>
      <c r="AB182" s="28"/>
      <c r="AC182" s="28"/>
      <c r="AD182" s="28"/>
      <c r="AE182" s="28"/>
    </row>
    <row r="183" spans="1:31" x14ac:dyDescent="0.35">
      <c r="A183" s="28"/>
      <c r="B183" s="28"/>
      <c r="C183" s="28"/>
      <c r="D183" s="28"/>
      <c r="E183" s="28"/>
      <c r="F183" s="28"/>
      <c r="G183" s="28"/>
      <c r="H183" s="28"/>
      <c r="I183" s="28"/>
      <c r="J183" s="28"/>
      <c r="K183" s="29"/>
      <c r="L183" s="29"/>
      <c r="M183" s="29"/>
      <c r="N183" s="29"/>
      <c r="O183" s="29"/>
      <c r="P183" s="28"/>
      <c r="Q183" s="28"/>
      <c r="R183" s="28"/>
      <c r="S183" s="28"/>
      <c r="T183" s="28"/>
      <c r="U183" s="28"/>
      <c r="V183" s="28"/>
      <c r="W183" s="28"/>
      <c r="X183" s="28"/>
      <c r="Y183" s="30"/>
      <c r="Z183" s="28"/>
      <c r="AA183" s="28"/>
      <c r="AB183" s="28"/>
      <c r="AC183" s="28"/>
      <c r="AD183" s="28"/>
      <c r="AE183" s="28"/>
    </row>
    <row r="184" spans="1:31" x14ac:dyDescent="0.35">
      <c r="A184" s="28"/>
      <c r="B184" s="28"/>
      <c r="C184" s="28"/>
      <c r="D184" s="28"/>
      <c r="E184" s="28"/>
      <c r="F184" s="28"/>
      <c r="G184" s="28"/>
      <c r="H184" s="28"/>
      <c r="I184" s="28"/>
      <c r="J184" s="28"/>
      <c r="K184" s="29"/>
      <c r="L184" s="29"/>
      <c r="M184" s="29"/>
      <c r="N184" s="29"/>
      <c r="O184" s="29"/>
      <c r="P184" s="28"/>
      <c r="Q184" s="28"/>
      <c r="R184" s="28"/>
      <c r="S184" s="28"/>
      <c r="T184" s="28"/>
      <c r="U184" s="28"/>
      <c r="V184" s="28"/>
      <c r="W184" s="28"/>
      <c r="X184" s="28"/>
      <c r="Y184" s="30"/>
      <c r="Z184" s="28"/>
      <c r="AA184" s="28"/>
      <c r="AB184" s="28"/>
      <c r="AC184" s="28"/>
      <c r="AD184" s="28"/>
      <c r="AE184" s="28"/>
    </row>
    <row r="185" spans="1:31" x14ac:dyDescent="0.35">
      <c r="A185" s="28"/>
      <c r="B185" s="28"/>
      <c r="C185" s="28"/>
      <c r="D185" s="28"/>
      <c r="E185" s="28"/>
      <c r="F185" s="28"/>
      <c r="G185" s="28"/>
      <c r="H185" s="28"/>
      <c r="I185" s="28"/>
      <c r="J185" s="28"/>
      <c r="K185" s="29"/>
      <c r="L185" s="29"/>
      <c r="M185" s="29"/>
      <c r="N185" s="29"/>
      <c r="O185" s="29"/>
      <c r="P185" s="28"/>
      <c r="Q185" s="28"/>
      <c r="R185" s="28"/>
      <c r="S185" s="28"/>
      <c r="T185" s="28"/>
      <c r="U185" s="28"/>
      <c r="V185" s="28"/>
      <c r="W185" s="28"/>
      <c r="X185" s="28"/>
      <c r="Y185" s="30"/>
      <c r="Z185" s="28"/>
      <c r="AA185" s="28"/>
      <c r="AB185" s="28"/>
      <c r="AC185" s="28"/>
      <c r="AD185" s="28"/>
      <c r="AE185" s="28"/>
    </row>
    <row r="186" spans="1:31" x14ac:dyDescent="0.35">
      <c r="A186" s="28"/>
      <c r="B186" s="28"/>
      <c r="C186" s="28"/>
      <c r="D186" s="28"/>
      <c r="E186" s="28"/>
      <c r="F186" s="28"/>
      <c r="G186" s="28"/>
      <c r="H186" s="28"/>
      <c r="I186" s="28"/>
      <c r="J186" s="28"/>
      <c r="K186" s="29"/>
      <c r="L186" s="29"/>
      <c r="M186" s="29"/>
      <c r="N186" s="29"/>
      <c r="O186" s="29"/>
      <c r="P186" s="28"/>
      <c r="Q186" s="28"/>
      <c r="R186" s="28"/>
      <c r="S186" s="28"/>
      <c r="T186" s="28"/>
      <c r="U186" s="28"/>
      <c r="V186" s="28"/>
      <c r="W186" s="28"/>
      <c r="X186" s="28"/>
      <c r="Y186" s="30"/>
      <c r="Z186" s="28"/>
      <c r="AA186" s="28"/>
      <c r="AB186" s="28"/>
      <c r="AC186" s="28"/>
      <c r="AD186" s="28"/>
      <c r="AE186" s="28"/>
    </row>
    <row r="187" spans="1:31" x14ac:dyDescent="0.35">
      <c r="A187" s="28"/>
      <c r="B187" s="28"/>
      <c r="C187" s="28"/>
      <c r="D187" s="28"/>
      <c r="E187" s="28"/>
      <c r="F187" s="28"/>
      <c r="G187" s="28"/>
      <c r="H187" s="28"/>
      <c r="I187" s="28"/>
      <c r="J187" s="28"/>
      <c r="K187" s="29"/>
      <c r="L187" s="29"/>
      <c r="M187" s="29"/>
      <c r="N187" s="29"/>
      <c r="O187" s="29"/>
      <c r="P187" s="28"/>
      <c r="Q187" s="28"/>
      <c r="R187" s="28"/>
      <c r="S187" s="28"/>
      <c r="T187" s="28"/>
      <c r="U187" s="28"/>
      <c r="V187" s="28"/>
      <c r="W187" s="28"/>
      <c r="X187" s="28"/>
      <c r="Y187" s="30"/>
      <c r="Z187" s="28"/>
      <c r="AA187" s="28"/>
      <c r="AB187" s="28"/>
      <c r="AC187" s="28"/>
      <c r="AD187" s="28"/>
      <c r="AE187" s="28"/>
    </row>
    <row r="188" spans="1:31" x14ac:dyDescent="0.35">
      <c r="A188" s="28"/>
      <c r="B188" s="28"/>
      <c r="C188" s="28"/>
      <c r="D188" s="28"/>
      <c r="E188" s="28"/>
      <c r="F188" s="28"/>
      <c r="G188" s="28"/>
      <c r="H188" s="28"/>
      <c r="I188" s="28"/>
      <c r="J188" s="28"/>
      <c r="K188" s="29"/>
      <c r="L188" s="29"/>
      <c r="M188" s="29"/>
      <c r="N188" s="29"/>
      <c r="O188" s="29"/>
      <c r="P188" s="28"/>
      <c r="Q188" s="28"/>
      <c r="R188" s="28"/>
      <c r="S188" s="28"/>
      <c r="T188" s="28"/>
      <c r="U188" s="28"/>
      <c r="V188" s="28"/>
      <c r="W188" s="28"/>
      <c r="X188" s="28"/>
      <c r="Y188" s="30"/>
      <c r="Z188" s="28"/>
      <c r="AA188" s="28"/>
      <c r="AB188" s="28"/>
      <c r="AC188" s="28"/>
      <c r="AD188" s="28"/>
      <c r="AE188" s="28"/>
    </row>
    <row r="189" spans="1:31" x14ac:dyDescent="0.35">
      <c r="A189" s="28"/>
      <c r="B189" s="28"/>
      <c r="C189" s="28"/>
      <c r="D189" s="28"/>
      <c r="E189" s="28"/>
      <c r="F189" s="28"/>
      <c r="G189" s="28"/>
      <c r="H189" s="28"/>
      <c r="I189" s="28"/>
      <c r="J189" s="28"/>
      <c r="K189" s="29"/>
      <c r="L189" s="29"/>
      <c r="M189" s="29"/>
      <c r="N189" s="29"/>
      <c r="O189" s="29"/>
      <c r="P189" s="28"/>
      <c r="Q189" s="28"/>
      <c r="R189" s="28"/>
      <c r="S189" s="28"/>
      <c r="T189" s="28"/>
      <c r="U189" s="28"/>
      <c r="V189" s="28"/>
      <c r="W189" s="28"/>
      <c r="X189" s="28"/>
      <c r="Y189" s="30"/>
      <c r="Z189" s="28"/>
      <c r="AA189" s="28"/>
      <c r="AB189" s="28"/>
      <c r="AC189" s="28"/>
      <c r="AD189" s="28"/>
      <c r="AE189" s="28"/>
    </row>
    <row r="190" spans="1:31" x14ac:dyDescent="0.35">
      <c r="A190" s="28"/>
      <c r="B190" s="28"/>
      <c r="C190" s="28"/>
      <c r="D190" s="28"/>
      <c r="E190" s="28"/>
      <c r="F190" s="28"/>
      <c r="G190" s="28"/>
      <c r="H190" s="28"/>
      <c r="I190" s="28"/>
      <c r="J190" s="28"/>
      <c r="K190" s="29"/>
      <c r="L190" s="29"/>
      <c r="M190" s="29"/>
      <c r="N190" s="29"/>
      <c r="O190" s="29"/>
      <c r="P190" s="28"/>
      <c r="Q190" s="28"/>
      <c r="R190" s="28"/>
      <c r="S190" s="28"/>
      <c r="T190" s="28"/>
      <c r="U190" s="28"/>
      <c r="V190" s="28"/>
      <c r="W190" s="28"/>
      <c r="X190" s="28"/>
      <c r="Y190" s="30"/>
      <c r="Z190" s="28"/>
      <c r="AA190" s="28"/>
      <c r="AB190" s="28"/>
      <c r="AC190" s="28"/>
      <c r="AD190" s="28"/>
      <c r="AE190" s="28"/>
    </row>
    <row r="191" spans="1:31" x14ac:dyDescent="0.35">
      <c r="A191" s="28"/>
      <c r="B191" s="28"/>
      <c r="C191" s="28"/>
      <c r="D191" s="28"/>
      <c r="E191" s="28"/>
      <c r="F191" s="28"/>
      <c r="G191" s="28"/>
      <c r="H191" s="28"/>
      <c r="I191" s="28"/>
      <c r="J191" s="28"/>
      <c r="K191" s="29"/>
      <c r="L191" s="29"/>
      <c r="M191" s="29"/>
      <c r="N191" s="29"/>
      <c r="O191" s="29"/>
      <c r="P191" s="28"/>
      <c r="Q191" s="28"/>
      <c r="R191" s="28"/>
      <c r="S191" s="28"/>
      <c r="T191" s="28"/>
      <c r="U191" s="28"/>
      <c r="V191" s="28"/>
      <c r="W191" s="28"/>
      <c r="X191" s="28"/>
      <c r="Y191" s="30"/>
      <c r="Z191" s="28"/>
      <c r="AA191" s="28"/>
      <c r="AB191" s="28"/>
      <c r="AC191" s="28"/>
      <c r="AD191" s="28"/>
      <c r="AE191" s="28"/>
    </row>
    <row r="192" spans="1:31" x14ac:dyDescent="0.35">
      <c r="A192" s="28"/>
      <c r="B192" s="28"/>
      <c r="C192" s="28"/>
      <c r="D192" s="28"/>
      <c r="E192" s="28"/>
      <c r="F192" s="28"/>
      <c r="G192" s="28"/>
      <c r="H192" s="28"/>
      <c r="I192" s="28"/>
      <c r="J192" s="28"/>
      <c r="K192" s="29"/>
      <c r="L192" s="29"/>
      <c r="M192" s="29"/>
      <c r="N192" s="29"/>
      <c r="O192" s="29"/>
      <c r="P192" s="28"/>
      <c r="Q192" s="28"/>
      <c r="R192" s="28"/>
      <c r="S192" s="28"/>
      <c r="T192" s="28"/>
      <c r="U192" s="28"/>
      <c r="V192" s="28"/>
      <c r="W192" s="28"/>
      <c r="X192" s="28"/>
      <c r="Y192" s="30"/>
      <c r="Z192" s="28"/>
      <c r="AA192" s="28"/>
      <c r="AB192" s="28"/>
      <c r="AC192" s="28"/>
      <c r="AD192" s="28"/>
      <c r="AE192" s="28"/>
    </row>
    <row r="193" spans="1:31" x14ac:dyDescent="0.35">
      <c r="A193" s="28"/>
      <c r="B193" s="28"/>
      <c r="C193" s="28"/>
      <c r="D193" s="28"/>
      <c r="E193" s="28"/>
      <c r="F193" s="28"/>
      <c r="G193" s="28"/>
      <c r="H193" s="28"/>
      <c r="I193" s="28"/>
      <c r="J193" s="28"/>
      <c r="K193" s="29"/>
      <c r="L193" s="29"/>
      <c r="M193" s="29"/>
      <c r="N193" s="29"/>
      <c r="O193" s="29"/>
      <c r="P193" s="28"/>
      <c r="Q193" s="28"/>
      <c r="R193" s="28"/>
      <c r="S193" s="28"/>
      <c r="T193" s="28"/>
      <c r="U193" s="28"/>
      <c r="V193" s="28"/>
      <c r="W193" s="28"/>
      <c r="X193" s="28"/>
      <c r="Y193" s="30"/>
      <c r="Z193" s="28"/>
      <c r="AA193" s="28"/>
      <c r="AB193" s="28"/>
      <c r="AC193" s="28"/>
      <c r="AD193" s="28"/>
      <c r="AE193" s="28"/>
    </row>
    <row r="194" spans="1:31" x14ac:dyDescent="0.35">
      <c r="A194" s="28"/>
      <c r="B194" s="28"/>
      <c r="C194" s="28"/>
      <c r="D194" s="28"/>
      <c r="E194" s="28"/>
      <c r="F194" s="28"/>
      <c r="G194" s="28"/>
      <c r="H194" s="28"/>
      <c r="I194" s="28"/>
      <c r="J194" s="28"/>
      <c r="K194" s="29"/>
      <c r="L194" s="29"/>
      <c r="M194" s="29"/>
      <c r="N194" s="29"/>
      <c r="O194" s="29"/>
      <c r="P194" s="28"/>
      <c r="Q194" s="28"/>
      <c r="R194" s="28"/>
      <c r="S194" s="28"/>
      <c r="T194" s="28"/>
      <c r="U194" s="28"/>
      <c r="V194" s="28"/>
      <c r="W194" s="28"/>
      <c r="X194" s="28"/>
      <c r="Y194" s="30"/>
      <c r="Z194" s="28"/>
      <c r="AA194" s="28"/>
      <c r="AB194" s="28"/>
      <c r="AC194" s="28"/>
      <c r="AD194" s="28"/>
      <c r="AE194" s="28"/>
    </row>
    <row r="195" spans="1:31" x14ac:dyDescent="0.35">
      <c r="A195" s="28"/>
      <c r="B195" s="28"/>
      <c r="C195" s="28"/>
      <c r="D195" s="28"/>
      <c r="E195" s="28"/>
      <c r="F195" s="28"/>
      <c r="G195" s="28"/>
      <c r="H195" s="28"/>
      <c r="I195" s="28"/>
      <c r="J195" s="28"/>
      <c r="K195" s="29"/>
      <c r="L195" s="29"/>
      <c r="M195" s="29"/>
      <c r="N195" s="29"/>
      <c r="O195" s="29"/>
      <c r="P195" s="28"/>
      <c r="Q195" s="28"/>
      <c r="R195" s="28"/>
      <c r="S195" s="28"/>
      <c r="T195" s="28"/>
      <c r="U195" s="28"/>
      <c r="V195" s="28"/>
      <c r="W195" s="28"/>
      <c r="X195" s="28"/>
      <c r="Y195" s="30"/>
      <c r="Z195" s="28"/>
      <c r="AA195" s="28"/>
      <c r="AB195" s="28"/>
      <c r="AC195" s="28"/>
      <c r="AD195" s="28"/>
      <c r="AE195" s="28"/>
    </row>
    <row r="196" spans="1:31" x14ac:dyDescent="0.35">
      <c r="A196" s="28"/>
      <c r="B196" s="28"/>
      <c r="C196" s="28"/>
      <c r="D196" s="28"/>
      <c r="E196" s="28"/>
      <c r="F196" s="28"/>
      <c r="G196" s="28"/>
      <c r="H196" s="28"/>
      <c r="I196" s="28"/>
      <c r="J196" s="28"/>
      <c r="K196" s="29"/>
      <c r="L196" s="29"/>
      <c r="M196" s="29"/>
      <c r="N196" s="29"/>
      <c r="O196" s="29"/>
      <c r="P196" s="28"/>
      <c r="Q196" s="28"/>
      <c r="R196" s="28"/>
      <c r="S196" s="28"/>
      <c r="T196" s="28"/>
      <c r="U196" s="28"/>
      <c r="V196" s="28"/>
      <c r="W196" s="28"/>
      <c r="X196" s="28"/>
      <c r="Y196" s="30"/>
      <c r="Z196" s="28"/>
      <c r="AA196" s="28"/>
      <c r="AB196" s="28"/>
      <c r="AC196" s="28"/>
      <c r="AD196" s="28"/>
      <c r="AE196" s="28"/>
    </row>
    <row r="197" spans="1:31" x14ac:dyDescent="0.35">
      <c r="A197" s="28"/>
      <c r="B197" s="28"/>
      <c r="C197" s="28"/>
      <c r="D197" s="28"/>
      <c r="E197" s="28"/>
      <c r="F197" s="28"/>
      <c r="G197" s="28"/>
      <c r="H197" s="28"/>
      <c r="I197" s="28"/>
      <c r="J197" s="28"/>
      <c r="K197" s="29"/>
      <c r="L197" s="29"/>
      <c r="M197" s="29"/>
      <c r="N197" s="29"/>
      <c r="O197" s="29"/>
      <c r="P197" s="28"/>
      <c r="Q197" s="28"/>
      <c r="R197" s="28"/>
      <c r="S197" s="28"/>
      <c r="T197" s="28"/>
      <c r="U197" s="28"/>
      <c r="V197" s="28"/>
      <c r="W197" s="28"/>
      <c r="X197" s="28"/>
      <c r="Y197" s="30"/>
      <c r="Z197" s="28"/>
      <c r="AA197" s="28"/>
      <c r="AB197" s="28"/>
      <c r="AC197" s="28"/>
      <c r="AD197" s="28"/>
      <c r="AE197" s="28"/>
    </row>
    <row r="198" spans="1:31" x14ac:dyDescent="0.35">
      <c r="A198" s="28"/>
      <c r="B198" s="28"/>
      <c r="C198" s="28"/>
      <c r="D198" s="28"/>
      <c r="E198" s="28"/>
      <c r="F198" s="28"/>
      <c r="G198" s="28"/>
      <c r="H198" s="28"/>
      <c r="I198" s="28"/>
      <c r="J198" s="28"/>
      <c r="K198" s="29"/>
      <c r="L198" s="29"/>
      <c r="M198" s="29"/>
      <c r="N198" s="29"/>
      <c r="O198" s="29"/>
      <c r="P198" s="28"/>
      <c r="Q198" s="28"/>
      <c r="R198" s="28"/>
      <c r="S198" s="28"/>
      <c r="T198" s="28"/>
      <c r="U198" s="28"/>
      <c r="V198" s="28"/>
      <c r="W198" s="28"/>
      <c r="X198" s="28"/>
      <c r="Y198" s="30"/>
      <c r="Z198" s="28"/>
      <c r="AA198" s="28"/>
      <c r="AB198" s="28"/>
      <c r="AC198" s="28"/>
      <c r="AD198" s="28"/>
      <c r="AE198" s="28"/>
    </row>
    <row r="199" spans="1:31" x14ac:dyDescent="0.35">
      <c r="A199" s="28"/>
      <c r="B199" s="28"/>
      <c r="C199" s="28"/>
      <c r="D199" s="28"/>
      <c r="E199" s="28"/>
      <c r="F199" s="28"/>
      <c r="G199" s="28"/>
      <c r="H199" s="28"/>
      <c r="I199" s="28"/>
      <c r="J199" s="28"/>
      <c r="K199" s="29"/>
      <c r="L199" s="29"/>
      <c r="M199" s="29"/>
      <c r="N199" s="29"/>
      <c r="O199" s="29"/>
      <c r="P199" s="28"/>
      <c r="Q199" s="28"/>
      <c r="R199" s="28"/>
      <c r="S199" s="28"/>
      <c r="T199" s="28"/>
      <c r="U199" s="28"/>
      <c r="V199" s="28"/>
      <c r="W199" s="28"/>
      <c r="X199" s="28"/>
      <c r="Y199" s="30"/>
      <c r="Z199" s="28"/>
      <c r="AA199" s="28"/>
      <c r="AB199" s="28"/>
      <c r="AC199" s="28"/>
      <c r="AD199" s="28"/>
      <c r="AE199" s="28"/>
    </row>
    <row r="200" spans="1:31" x14ac:dyDescent="0.35">
      <c r="A200" s="28"/>
      <c r="B200" s="28"/>
      <c r="C200" s="28"/>
      <c r="D200" s="28"/>
      <c r="E200" s="28"/>
      <c r="F200" s="28"/>
      <c r="G200" s="28"/>
      <c r="H200" s="28"/>
      <c r="I200" s="28"/>
      <c r="J200" s="28"/>
      <c r="K200" s="29"/>
      <c r="L200" s="29"/>
      <c r="M200" s="29"/>
      <c r="N200" s="29"/>
      <c r="O200" s="29"/>
      <c r="P200" s="28"/>
      <c r="Q200" s="28"/>
      <c r="R200" s="28"/>
      <c r="S200" s="28"/>
      <c r="T200" s="28"/>
      <c r="U200" s="28"/>
      <c r="V200" s="28"/>
      <c r="W200" s="28"/>
      <c r="X200" s="28"/>
      <c r="Y200" s="30"/>
      <c r="Z200" s="28"/>
      <c r="AA200" s="28"/>
      <c r="AB200" s="28"/>
      <c r="AC200" s="28"/>
      <c r="AD200" s="28"/>
      <c r="AE200" s="28"/>
    </row>
    <row r="201" spans="1:31" x14ac:dyDescent="0.35">
      <c r="A201" s="28"/>
      <c r="B201" s="28"/>
      <c r="C201" s="28"/>
      <c r="D201" s="28"/>
      <c r="E201" s="28"/>
      <c r="F201" s="28"/>
      <c r="G201" s="28"/>
      <c r="H201" s="28"/>
      <c r="I201" s="28"/>
      <c r="J201" s="28"/>
      <c r="K201" s="29"/>
      <c r="L201" s="29"/>
      <c r="M201" s="29"/>
      <c r="N201" s="29"/>
      <c r="O201" s="29"/>
      <c r="P201" s="28"/>
      <c r="Q201" s="28"/>
      <c r="R201" s="28"/>
      <c r="S201" s="28"/>
      <c r="T201" s="28"/>
      <c r="U201" s="28"/>
      <c r="V201" s="28"/>
      <c r="W201" s="28"/>
      <c r="X201" s="28"/>
      <c r="Y201" s="30"/>
      <c r="Z201" s="28"/>
      <c r="AA201" s="28"/>
      <c r="AB201" s="28"/>
      <c r="AC201" s="28"/>
      <c r="AD201" s="28"/>
      <c r="AE201" s="28"/>
    </row>
    <row r="202" spans="1:31" x14ac:dyDescent="0.35">
      <c r="A202" s="28"/>
      <c r="B202" s="28"/>
      <c r="C202" s="28"/>
      <c r="D202" s="28"/>
      <c r="E202" s="28"/>
      <c r="F202" s="28"/>
      <c r="G202" s="28"/>
      <c r="H202" s="28"/>
      <c r="I202" s="28"/>
      <c r="J202" s="28"/>
      <c r="K202" s="29"/>
      <c r="L202" s="29"/>
      <c r="M202" s="29"/>
      <c r="N202" s="29"/>
      <c r="O202" s="29"/>
      <c r="P202" s="28"/>
      <c r="Q202" s="28"/>
      <c r="R202" s="28"/>
      <c r="S202" s="28"/>
      <c r="T202" s="28"/>
      <c r="U202" s="28"/>
      <c r="V202" s="28"/>
      <c r="W202" s="28"/>
      <c r="X202" s="28"/>
      <c r="Y202" s="30"/>
      <c r="Z202" s="28"/>
      <c r="AA202" s="28"/>
      <c r="AB202" s="28"/>
      <c r="AC202" s="28"/>
      <c r="AD202" s="28"/>
      <c r="AE202" s="28"/>
    </row>
    <row r="203" spans="1:31" x14ac:dyDescent="0.35">
      <c r="A203" s="28"/>
      <c r="B203" s="28"/>
      <c r="C203" s="28"/>
      <c r="D203" s="28"/>
      <c r="E203" s="28"/>
      <c r="F203" s="28"/>
      <c r="G203" s="28"/>
      <c r="H203" s="28"/>
      <c r="I203" s="28"/>
      <c r="J203" s="28"/>
      <c r="K203" s="29"/>
      <c r="L203" s="29"/>
      <c r="M203" s="29"/>
      <c r="N203" s="29"/>
      <c r="O203" s="29"/>
      <c r="P203" s="28"/>
      <c r="Q203" s="28"/>
      <c r="R203" s="28"/>
      <c r="S203" s="28"/>
      <c r="T203" s="28"/>
      <c r="U203" s="28"/>
      <c r="V203" s="28"/>
      <c r="W203" s="28"/>
      <c r="X203" s="28"/>
      <c r="Y203" s="30"/>
      <c r="Z203" s="28"/>
      <c r="AA203" s="28"/>
      <c r="AB203" s="28"/>
      <c r="AC203" s="28"/>
      <c r="AD203" s="28"/>
      <c r="AE203" s="28"/>
    </row>
    <row r="204" spans="1:31" x14ac:dyDescent="0.35">
      <c r="A204" s="28"/>
      <c r="B204" s="28"/>
      <c r="C204" s="28"/>
      <c r="D204" s="28"/>
      <c r="E204" s="28"/>
      <c r="F204" s="28"/>
      <c r="G204" s="28"/>
      <c r="H204" s="28"/>
      <c r="I204" s="28"/>
      <c r="J204" s="28"/>
      <c r="K204" s="29"/>
      <c r="L204" s="29"/>
      <c r="M204" s="29"/>
      <c r="N204" s="29"/>
      <c r="O204" s="29"/>
      <c r="P204" s="28"/>
      <c r="Q204" s="28"/>
      <c r="R204" s="28"/>
      <c r="S204" s="28"/>
      <c r="T204" s="28"/>
      <c r="U204" s="28"/>
      <c r="V204" s="28"/>
      <c r="W204" s="28"/>
      <c r="X204" s="28"/>
      <c r="Y204" s="30"/>
      <c r="Z204" s="28"/>
      <c r="AA204" s="28"/>
      <c r="AB204" s="28"/>
      <c r="AC204" s="28"/>
      <c r="AD204" s="28"/>
      <c r="AE204" s="28"/>
    </row>
    <row r="205" spans="1:31" x14ac:dyDescent="0.35">
      <c r="A205" s="28"/>
      <c r="B205" s="28"/>
      <c r="C205" s="28"/>
      <c r="D205" s="28"/>
      <c r="E205" s="28"/>
      <c r="F205" s="28"/>
      <c r="G205" s="28"/>
      <c r="H205" s="28"/>
      <c r="I205" s="28"/>
      <c r="J205" s="28"/>
      <c r="K205" s="29"/>
      <c r="L205" s="29"/>
      <c r="M205" s="29"/>
      <c r="N205" s="29"/>
      <c r="O205" s="29"/>
      <c r="P205" s="28"/>
      <c r="Q205" s="28"/>
      <c r="R205" s="28"/>
      <c r="S205" s="28"/>
      <c r="T205" s="28"/>
      <c r="U205" s="28"/>
      <c r="V205" s="28"/>
      <c r="W205" s="28"/>
      <c r="X205" s="28"/>
      <c r="Y205" s="30"/>
      <c r="Z205" s="28"/>
      <c r="AA205" s="28"/>
      <c r="AB205" s="28"/>
      <c r="AC205" s="28"/>
      <c r="AD205" s="28"/>
      <c r="AE205" s="28"/>
    </row>
    <row r="206" spans="1:31" x14ac:dyDescent="0.35">
      <c r="A206" s="28"/>
      <c r="B206" s="28"/>
      <c r="C206" s="28"/>
      <c r="D206" s="28"/>
      <c r="E206" s="28"/>
      <c r="F206" s="28"/>
      <c r="G206" s="28"/>
      <c r="H206" s="28"/>
      <c r="I206" s="28"/>
      <c r="J206" s="28"/>
      <c r="K206" s="29"/>
      <c r="L206" s="29"/>
      <c r="M206" s="29"/>
      <c r="N206" s="29"/>
      <c r="O206" s="29"/>
      <c r="P206" s="28"/>
      <c r="Q206" s="28"/>
      <c r="R206" s="28"/>
      <c r="S206" s="28"/>
      <c r="T206" s="28"/>
      <c r="U206" s="28"/>
      <c r="V206" s="28"/>
      <c r="W206" s="28"/>
      <c r="X206" s="28"/>
      <c r="Y206" s="30"/>
      <c r="Z206" s="28"/>
      <c r="AA206" s="28"/>
      <c r="AB206" s="28"/>
      <c r="AC206" s="28"/>
      <c r="AD206" s="28"/>
      <c r="AE206" s="28"/>
    </row>
    <row r="207" spans="1:31" x14ac:dyDescent="0.35">
      <c r="A207" s="28"/>
      <c r="B207" s="28"/>
      <c r="C207" s="28"/>
      <c r="D207" s="28"/>
      <c r="E207" s="28"/>
      <c r="F207" s="28"/>
      <c r="G207" s="28"/>
      <c r="H207" s="28"/>
      <c r="I207" s="28"/>
      <c r="J207" s="28"/>
      <c r="K207" s="29"/>
      <c r="L207" s="29"/>
      <c r="M207" s="29"/>
      <c r="N207" s="29"/>
      <c r="O207" s="29"/>
      <c r="P207" s="28"/>
      <c r="Q207" s="28"/>
      <c r="R207" s="28"/>
      <c r="S207" s="28"/>
      <c r="T207" s="28"/>
      <c r="U207" s="28"/>
      <c r="V207" s="28"/>
      <c r="W207" s="28"/>
      <c r="X207" s="28"/>
      <c r="Y207" s="30"/>
      <c r="Z207" s="28"/>
      <c r="AA207" s="28"/>
      <c r="AB207" s="28"/>
      <c r="AC207" s="28"/>
      <c r="AD207" s="28"/>
      <c r="AE207" s="28"/>
    </row>
    <row r="208" spans="1:31" x14ac:dyDescent="0.35">
      <c r="A208" s="28"/>
      <c r="B208" s="28"/>
      <c r="C208" s="28"/>
      <c r="D208" s="28"/>
      <c r="E208" s="28"/>
      <c r="F208" s="28"/>
      <c r="G208" s="28"/>
      <c r="H208" s="28"/>
      <c r="I208" s="28"/>
      <c r="J208" s="28"/>
      <c r="K208" s="29"/>
      <c r="L208" s="29"/>
      <c r="M208" s="29"/>
      <c r="N208" s="29"/>
      <c r="O208" s="29"/>
      <c r="P208" s="28"/>
      <c r="Q208" s="28"/>
      <c r="R208" s="28"/>
      <c r="S208" s="28"/>
      <c r="T208" s="28"/>
      <c r="U208" s="28"/>
      <c r="V208" s="28"/>
      <c r="W208" s="28"/>
      <c r="X208" s="28"/>
      <c r="Y208" s="30"/>
      <c r="Z208" s="28"/>
      <c r="AA208" s="28"/>
      <c r="AB208" s="28"/>
      <c r="AC208" s="28"/>
      <c r="AD208" s="28"/>
      <c r="AE208" s="28"/>
    </row>
    <row r="209" spans="1:31" x14ac:dyDescent="0.35">
      <c r="A209" s="28"/>
      <c r="B209" s="28"/>
      <c r="C209" s="28"/>
      <c r="D209" s="28"/>
      <c r="E209" s="28"/>
      <c r="F209" s="28"/>
      <c r="G209" s="28"/>
      <c r="H209" s="28"/>
      <c r="I209" s="28"/>
      <c r="J209" s="28"/>
      <c r="K209" s="29"/>
      <c r="L209" s="29"/>
      <c r="M209" s="29"/>
      <c r="N209" s="29"/>
      <c r="O209" s="29"/>
      <c r="P209" s="28"/>
      <c r="Q209" s="28"/>
      <c r="R209" s="28"/>
      <c r="S209" s="28"/>
      <c r="T209" s="28"/>
      <c r="U209" s="28"/>
      <c r="V209" s="28"/>
      <c r="W209" s="28"/>
      <c r="X209" s="28"/>
      <c r="Y209" s="30"/>
      <c r="Z209" s="28"/>
      <c r="AA209" s="28"/>
      <c r="AB209" s="28"/>
      <c r="AC209" s="28"/>
      <c r="AD209" s="28"/>
      <c r="AE209" s="28"/>
    </row>
    <row r="210" spans="1:31" x14ac:dyDescent="0.35">
      <c r="A210" s="28"/>
      <c r="B210" s="28"/>
      <c r="C210" s="28"/>
      <c r="D210" s="28"/>
      <c r="E210" s="28"/>
      <c r="F210" s="28"/>
      <c r="G210" s="28"/>
      <c r="H210" s="28"/>
      <c r="I210" s="28"/>
      <c r="J210" s="28"/>
      <c r="K210" s="29"/>
      <c r="L210" s="29"/>
      <c r="M210" s="29"/>
      <c r="N210" s="29"/>
      <c r="O210" s="29"/>
      <c r="P210" s="28"/>
      <c r="Q210" s="28"/>
      <c r="R210" s="28"/>
      <c r="S210" s="28"/>
      <c r="T210" s="28"/>
      <c r="U210" s="28"/>
      <c r="V210" s="28"/>
      <c r="W210" s="28"/>
      <c r="X210" s="28"/>
      <c r="Y210" s="30"/>
      <c r="Z210" s="28"/>
      <c r="AA210" s="28"/>
      <c r="AB210" s="28"/>
      <c r="AC210" s="28"/>
      <c r="AD210" s="28"/>
      <c r="AE210" s="28"/>
    </row>
    <row r="211" spans="1:31" x14ac:dyDescent="0.35">
      <c r="A211" s="28"/>
      <c r="B211" s="28"/>
      <c r="C211" s="28"/>
      <c r="D211" s="28"/>
      <c r="E211" s="28"/>
      <c r="F211" s="28"/>
      <c r="G211" s="28"/>
      <c r="H211" s="28"/>
      <c r="I211" s="28"/>
      <c r="J211" s="28"/>
      <c r="K211" s="29"/>
      <c r="L211" s="29"/>
      <c r="M211" s="29"/>
      <c r="N211" s="29"/>
      <c r="O211" s="29"/>
      <c r="P211" s="28"/>
      <c r="Q211" s="28"/>
      <c r="R211" s="28"/>
      <c r="S211" s="28"/>
      <c r="T211" s="28"/>
      <c r="U211" s="28"/>
      <c r="V211" s="28"/>
      <c r="W211" s="28"/>
      <c r="X211" s="28"/>
      <c r="Y211" s="30"/>
      <c r="Z211" s="28"/>
      <c r="AA211" s="28"/>
      <c r="AB211" s="28"/>
      <c r="AC211" s="28"/>
      <c r="AD211" s="28"/>
      <c r="AE211" s="28"/>
    </row>
    <row r="212" spans="1:31" x14ac:dyDescent="0.35">
      <c r="A212" s="28"/>
      <c r="B212" s="28"/>
      <c r="C212" s="28"/>
      <c r="D212" s="28"/>
      <c r="E212" s="28"/>
      <c r="F212" s="28"/>
      <c r="G212" s="28"/>
      <c r="H212" s="28"/>
      <c r="I212" s="28"/>
      <c r="J212" s="28"/>
      <c r="K212" s="29"/>
      <c r="L212" s="29"/>
      <c r="M212" s="29"/>
      <c r="N212" s="29"/>
      <c r="O212" s="29"/>
      <c r="P212" s="28"/>
      <c r="Q212" s="28"/>
      <c r="R212" s="28"/>
      <c r="S212" s="28"/>
      <c r="T212" s="28"/>
      <c r="U212" s="28"/>
      <c r="V212" s="28"/>
      <c r="W212" s="28"/>
      <c r="X212" s="28"/>
      <c r="Y212" s="30"/>
      <c r="Z212" s="28"/>
      <c r="AA212" s="28"/>
      <c r="AB212" s="28"/>
      <c r="AC212" s="28"/>
      <c r="AD212" s="28"/>
      <c r="AE212" s="28"/>
    </row>
    <row r="213" spans="1:31" x14ac:dyDescent="0.35">
      <c r="A213" s="28"/>
      <c r="B213" s="28"/>
      <c r="C213" s="28"/>
      <c r="D213" s="28"/>
      <c r="E213" s="28"/>
      <c r="F213" s="28"/>
      <c r="G213" s="28"/>
      <c r="H213" s="28"/>
      <c r="I213" s="28"/>
      <c r="J213" s="28"/>
      <c r="K213" s="29"/>
      <c r="L213" s="29"/>
      <c r="M213" s="29"/>
      <c r="N213" s="29"/>
      <c r="O213" s="29"/>
      <c r="P213" s="28"/>
      <c r="Q213" s="28"/>
      <c r="R213" s="28"/>
      <c r="S213" s="28"/>
      <c r="T213" s="28"/>
      <c r="U213" s="28"/>
      <c r="V213" s="28"/>
      <c r="W213" s="28"/>
      <c r="X213" s="28"/>
      <c r="Y213" s="30"/>
      <c r="Z213" s="28"/>
      <c r="AA213" s="28"/>
      <c r="AB213" s="28"/>
      <c r="AC213" s="28"/>
      <c r="AD213" s="28"/>
      <c r="AE213" s="28"/>
    </row>
    <row r="214" spans="1:31" x14ac:dyDescent="0.35">
      <c r="A214" s="28"/>
      <c r="B214" s="28"/>
      <c r="C214" s="28"/>
      <c r="D214" s="28"/>
      <c r="E214" s="28"/>
      <c r="F214" s="28"/>
      <c r="G214" s="28"/>
      <c r="H214" s="28"/>
      <c r="I214" s="28"/>
      <c r="J214" s="28"/>
      <c r="K214" s="29"/>
      <c r="L214" s="29"/>
      <c r="M214" s="29"/>
      <c r="N214" s="29"/>
      <c r="O214" s="29"/>
      <c r="P214" s="28"/>
      <c r="Q214" s="28"/>
      <c r="R214" s="28"/>
      <c r="S214" s="28"/>
      <c r="T214" s="28"/>
      <c r="U214" s="28"/>
      <c r="V214" s="28"/>
      <c r="W214" s="28"/>
      <c r="X214" s="28"/>
      <c r="Y214" s="30"/>
      <c r="Z214" s="28"/>
      <c r="AA214" s="28"/>
      <c r="AB214" s="28"/>
      <c r="AC214" s="28"/>
      <c r="AD214" s="28"/>
      <c r="AE214" s="28"/>
    </row>
    <row r="215" spans="1:31" x14ac:dyDescent="0.35">
      <c r="A215" s="28"/>
      <c r="B215" s="28"/>
      <c r="C215" s="28"/>
      <c r="D215" s="28"/>
      <c r="E215" s="28"/>
      <c r="F215" s="28"/>
      <c r="G215" s="28"/>
      <c r="H215" s="28"/>
      <c r="I215" s="28"/>
      <c r="J215" s="28"/>
      <c r="K215" s="29"/>
      <c r="L215" s="29"/>
      <c r="M215" s="29"/>
      <c r="N215" s="29"/>
      <c r="O215" s="29"/>
      <c r="P215" s="28"/>
      <c r="Q215" s="28"/>
      <c r="R215" s="28"/>
      <c r="S215" s="28"/>
      <c r="T215" s="28"/>
      <c r="U215" s="28"/>
      <c r="V215" s="28"/>
      <c r="W215" s="28"/>
      <c r="X215" s="28"/>
      <c r="Y215" s="30"/>
      <c r="Z215" s="28"/>
      <c r="AA215" s="28"/>
      <c r="AB215" s="28"/>
      <c r="AC215" s="28"/>
      <c r="AD215" s="28"/>
      <c r="AE215" s="28"/>
    </row>
    <row r="216" spans="1:31" x14ac:dyDescent="0.35">
      <c r="A216" s="28"/>
      <c r="B216" s="28"/>
      <c r="C216" s="28"/>
      <c r="D216" s="28"/>
      <c r="E216" s="28"/>
      <c r="F216" s="28"/>
      <c r="G216" s="28"/>
      <c r="H216" s="28"/>
      <c r="I216" s="28"/>
      <c r="J216" s="28"/>
      <c r="K216" s="29"/>
      <c r="L216" s="29"/>
      <c r="M216" s="29"/>
      <c r="N216" s="29"/>
      <c r="O216" s="29"/>
      <c r="P216" s="28"/>
      <c r="Q216" s="28"/>
      <c r="R216" s="28"/>
      <c r="S216" s="28"/>
      <c r="T216" s="28"/>
      <c r="U216" s="28"/>
      <c r="V216" s="28"/>
      <c r="W216" s="28"/>
      <c r="X216" s="28"/>
      <c r="Y216" s="30"/>
      <c r="Z216" s="28"/>
      <c r="AA216" s="28"/>
      <c r="AB216" s="28"/>
      <c r="AC216" s="28"/>
      <c r="AD216" s="28"/>
      <c r="AE216" s="28"/>
    </row>
    <row r="217" spans="1:31" x14ac:dyDescent="0.35">
      <c r="A217" s="28"/>
      <c r="B217" s="28"/>
      <c r="C217" s="28"/>
      <c r="D217" s="28"/>
      <c r="E217" s="28"/>
      <c r="F217" s="28"/>
      <c r="G217" s="28"/>
      <c r="H217" s="28"/>
      <c r="I217" s="28"/>
      <c r="J217" s="28"/>
      <c r="K217" s="29"/>
      <c r="L217" s="29"/>
      <c r="M217" s="29"/>
      <c r="N217" s="29"/>
      <c r="O217" s="29"/>
      <c r="P217" s="28"/>
      <c r="Q217" s="28"/>
      <c r="R217" s="28"/>
      <c r="S217" s="28"/>
      <c r="T217" s="28"/>
      <c r="U217" s="28"/>
      <c r="V217" s="28"/>
      <c r="W217" s="28"/>
      <c r="X217" s="28"/>
      <c r="Y217" s="30"/>
      <c r="Z217" s="28"/>
      <c r="AA217" s="28"/>
      <c r="AB217" s="28"/>
      <c r="AC217" s="28"/>
      <c r="AD217" s="28"/>
      <c r="AE217" s="28"/>
    </row>
    <row r="218" spans="1:31" x14ac:dyDescent="0.35">
      <c r="A218" s="28"/>
      <c r="B218" s="28"/>
      <c r="C218" s="28"/>
      <c r="D218" s="28"/>
      <c r="E218" s="28"/>
      <c r="F218" s="28"/>
      <c r="G218" s="28"/>
      <c r="H218" s="28"/>
      <c r="I218" s="28"/>
      <c r="J218" s="28"/>
      <c r="K218" s="29"/>
      <c r="L218" s="29"/>
      <c r="M218" s="29"/>
      <c r="N218" s="29"/>
      <c r="O218" s="29"/>
      <c r="P218" s="28"/>
      <c r="Q218" s="28"/>
      <c r="R218" s="28"/>
      <c r="S218" s="28"/>
      <c r="T218" s="28"/>
      <c r="U218" s="28"/>
      <c r="V218" s="28"/>
      <c r="W218" s="28"/>
      <c r="X218" s="28"/>
      <c r="Y218" s="30"/>
      <c r="Z218" s="28"/>
      <c r="AA218" s="28"/>
      <c r="AB218" s="28"/>
      <c r="AC218" s="28"/>
      <c r="AD218" s="28"/>
      <c r="AE218" s="28"/>
    </row>
    <row r="219" spans="1:31" x14ac:dyDescent="0.35">
      <c r="A219" s="28"/>
      <c r="B219" s="28"/>
      <c r="C219" s="28"/>
      <c r="D219" s="28"/>
      <c r="E219" s="28"/>
      <c r="F219" s="28"/>
      <c r="G219" s="28"/>
      <c r="H219" s="28"/>
      <c r="I219" s="28"/>
      <c r="J219" s="28"/>
      <c r="K219" s="29"/>
      <c r="L219" s="29"/>
      <c r="M219" s="29"/>
      <c r="N219" s="29"/>
      <c r="O219" s="29"/>
      <c r="P219" s="28"/>
      <c r="Q219" s="28"/>
      <c r="R219" s="28"/>
      <c r="S219" s="28"/>
      <c r="T219" s="28"/>
      <c r="U219" s="28"/>
      <c r="V219" s="28"/>
      <c r="W219" s="28"/>
      <c r="X219" s="28"/>
      <c r="Y219" s="30"/>
      <c r="Z219" s="28"/>
      <c r="AA219" s="28"/>
      <c r="AB219" s="28"/>
      <c r="AC219" s="28"/>
      <c r="AD219" s="28"/>
      <c r="AE219" s="28"/>
    </row>
    <row r="220" spans="1:31" x14ac:dyDescent="0.35">
      <c r="A220" s="28"/>
      <c r="B220" s="28"/>
      <c r="C220" s="28"/>
      <c r="D220" s="28"/>
      <c r="E220" s="28"/>
      <c r="F220" s="28"/>
      <c r="G220" s="28"/>
      <c r="H220" s="28"/>
      <c r="I220" s="28"/>
      <c r="J220" s="28"/>
      <c r="K220" s="29"/>
      <c r="L220" s="29"/>
      <c r="M220" s="29"/>
      <c r="N220" s="29"/>
      <c r="O220" s="29"/>
      <c r="P220" s="28"/>
      <c r="Q220" s="28"/>
      <c r="R220" s="28"/>
      <c r="S220" s="28"/>
      <c r="T220" s="28"/>
      <c r="U220" s="28"/>
      <c r="V220" s="28"/>
      <c r="W220" s="28"/>
      <c r="X220" s="28"/>
      <c r="Y220" s="30"/>
      <c r="Z220" s="28"/>
      <c r="AA220" s="28"/>
      <c r="AB220" s="28"/>
      <c r="AC220" s="28"/>
      <c r="AD220" s="28"/>
      <c r="AE220" s="28"/>
    </row>
    <row r="221" spans="1:31" x14ac:dyDescent="0.35">
      <c r="A221" s="28"/>
      <c r="B221" s="28"/>
      <c r="C221" s="28"/>
      <c r="D221" s="28"/>
      <c r="E221" s="28"/>
      <c r="F221" s="28"/>
      <c r="G221" s="28"/>
      <c r="H221" s="28"/>
      <c r="I221" s="28"/>
      <c r="J221" s="28"/>
      <c r="K221" s="29"/>
      <c r="L221" s="29"/>
      <c r="M221" s="29"/>
      <c r="N221" s="29"/>
      <c r="O221" s="29"/>
      <c r="P221" s="28"/>
      <c r="Q221" s="28"/>
      <c r="R221" s="28"/>
      <c r="S221" s="28"/>
      <c r="T221" s="28"/>
      <c r="U221" s="28"/>
      <c r="V221" s="28"/>
      <c r="W221" s="28"/>
      <c r="X221" s="28"/>
      <c r="Y221" s="30"/>
      <c r="Z221" s="28"/>
      <c r="AA221" s="28"/>
      <c r="AB221" s="28"/>
      <c r="AC221" s="28"/>
      <c r="AD221" s="28"/>
      <c r="AE221" s="28"/>
    </row>
    <row r="222" spans="1:31" x14ac:dyDescent="0.35">
      <c r="A222" s="28"/>
      <c r="B222" s="28"/>
      <c r="C222" s="28"/>
      <c r="D222" s="28"/>
      <c r="E222" s="28"/>
      <c r="F222" s="28"/>
      <c r="G222" s="28"/>
      <c r="H222" s="28"/>
      <c r="I222" s="28"/>
      <c r="J222" s="28"/>
      <c r="K222" s="29"/>
      <c r="L222" s="29"/>
      <c r="M222" s="29"/>
      <c r="N222" s="29"/>
      <c r="O222" s="29"/>
      <c r="P222" s="28"/>
      <c r="Q222" s="28"/>
      <c r="R222" s="28"/>
      <c r="S222" s="28"/>
      <c r="T222" s="28"/>
      <c r="U222" s="28"/>
      <c r="V222" s="28"/>
      <c r="W222" s="28"/>
      <c r="X222" s="28"/>
      <c r="Y222" s="30"/>
      <c r="Z222" s="28"/>
      <c r="AA222" s="28"/>
      <c r="AB222" s="28"/>
      <c r="AC222" s="28"/>
      <c r="AD222" s="28"/>
      <c r="AE222" s="28"/>
    </row>
    <row r="223" spans="1:31" x14ac:dyDescent="0.35">
      <c r="A223" s="28"/>
      <c r="B223" s="28"/>
      <c r="C223" s="28"/>
      <c r="D223" s="28"/>
      <c r="E223" s="28"/>
      <c r="F223" s="28"/>
      <c r="G223" s="28"/>
      <c r="H223" s="28"/>
      <c r="I223" s="28"/>
      <c r="J223" s="28"/>
      <c r="K223" s="29"/>
      <c r="L223" s="29"/>
      <c r="M223" s="29"/>
      <c r="N223" s="29"/>
      <c r="O223" s="29"/>
      <c r="P223" s="28"/>
      <c r="Q223" s="28"/>
      <c r="R223" s="28"/>
      <c r="S223" s="28"/>
      <c r="T223" s="28"/>
      <c r="U223" s="28"/>
      <c r="V223" s="28"/>
      <c r="W223" s="28"/>
      <c r="X223" s="28"/>
      <c r="Y223" s="30"/>
      <c r="Z223" s="28"/>
      <c r="AA223" s="28"/>
      <c r="AB223" s="28"/>
      <c r="AC223" s="28"/>
      <c r="AD223" s="28"/>
      <c r="AE223" s="28"/>
    </row>
    <row r="224" spans="1:31" x14ac:dyDescent="0.35">
      <c r="A224" s="28"/>
      <c r="B224" s="28"/>
      <c r="C224" s="28"/>
      <c r="D224" s="28"/>
      <c r="E224" s="28"/>
      <c r="F224" s="28"/>
      <c r="G224" s="28"/>
      <c r="H224" s="28"/>
      <c r="I224" s="28"/>
      <c r="J224" s="28"/>
      <c r="K224" s="29"/>
      <c r="L224" s="29"/>
      <c r="M224" s="29"/>
      <c r="N224" s="29"/>
      <c r="O224" s="29"/>
      <c r="P224" s="28"/>
      <c r="Q224" s="28"/>
      <c r="R224" s="28"/>
      <c r="S224" s="28"/>
      <c r="T224" s="28"/>
      <c r="U224" s="28"/>
      <c r="V224" s="28"/>
      <c r="W224" s="28"/>
      <c r="X224" s="28"/>
      <c r="Y224" s="30"/>
      <c r="Z224" s="28"/>
      <c r="AA224" s="28"/>
      <c r="AB224" s="28"/>
      <c r="AC224" s="28"/>
      <c r="AD224" s="28"/>
      <c r="AE224" s="28"/>
    </row>
    <row r="225" spans="1:31" x14ac:dyDescent="0.35">
      <c r="A225" s="28"/>
      <c r="B225" s="28"/>
      <c r="C225" s="28"/>
      <c r="D225" s="28"/>
      <c r="E225" s="28"/>
      <c r="F225" s="28"/>
      <c r="G225" s="28"/>
      <c r="H225" s="28"/>
      <c r="I225" s="28"/>
      <c r="J225" s="28"/>
      <c r="K225" s="29"/>
      <c r="L225" s="29"/>
      <c r="M225" s="29"/>
      <c r="N225" s="29"/>
      <c r="O225" s="29"/>
      <c r="P225" s="28"/>
      <c r="Q225" s="28"/>
      <c r="R225" s="28"/>
      <c r="S225" s="28"/>
      <c r="T225" s="28"/>
      <c r="U225" s="28"/>
      <c r="V225" s="28"/>
      <c r="W225" s="28"/>
      <c r="X225" s="28"/>
      <c r="Y225" s="30"/>
      <c r="Z225" s="28"/>
      <c r="AA225" s="28"/>
      <c r="AB225" s="28"/>
      <c r="AC225" s="28"/>
      <c r="AD225" s="28"/>
      <c r="AE225" s="28"/>
    </row>
    <row r="226" spans="1:31" x14ac:dyDescent="0.35">
      <c r="A226" s="28"/>
      <c r="B226" s="28"/>
      <c r="C226" s="28"/>
      <c r="D226" s="28"/>
      <c r="E226" s="28"/>
      <c r="F226" s="28"/>
      <c r="G226" s="28"/>
      <c r="H226" s="28"/>
      <c r="I226" s="28"/>
      <c r="J226" s="28"/>
      <c r="K226" s="29"/>
      <c r="L226" s="29"/>
      <c r="M226" s="29"/>
      <c r="N226" s="29"/>
      <c r="O226" s="29"/>
      <c r="P226" s="28"/>
      <c r="Q226" s="28"/>
      <c r="R226" s="28"/>
      <c r="S226" s="28"/>
      <c r="T226" s="28"/>
      <c r="U226" s="28"/>
      <c r="V226" s="28"/>
      <c r="W226" s="28"/>
      <c r="X226" s="28"/>
      <c r="Y226" s="30"/>
      <c r="Z226" s="28"/>
      <c r="AA226" s="28"/>
      <c r="AB226" s="28"/>
      <c r="AC226" s="28"/>
      <c r="AD226" s="28"/>
      <c r="AE226" s="28"/>
    </row>
    <row r="227" spans="1:31" x14ac:dyDescent="0.35">
      <c r="A227" s="28"/>
      <c r="B227" s="28"/>
      <c r="C227" s="28"/>
      <c r="D227" s="28"/>
      <c r="E227" s="28"/>
      <c r="F227" s="28"/>
      <c r="G227" s="28"/>
      <c r="H227" s="28"/>
      <c r="I227" s="28"/>
      <c r="J227" s="28"/>
      <c r="K227" s="29"/>
      <c r="L227" s="29"/>
      <c r="M227" s="29"/>
      <c r="N227" s="29"/>
      <c r="O227" s="29"/>
      <c r="P227" s="28"/>
      <c r="Q227" s="28"/>
      <c r="R227" s="28"/>
      <c r="S227" s="28"/>
      <c r="T227" s="28"/>
      <c r="U227" s="28"/>
      <c r="V227" s="28"/>
      <c r="W227" s="28"/>
      <c r="X227" s="28"/>
      <c r="Y227" s="30"/>
      <c r="Z227" s="28"/>
      <c r="AA227" s="28"/>
      <c r="AB227" s="28"/>
      <c r="AC227" s="28"/>
      <c r="AD227" s="28"/>
      <c r="AE227" s="28"/>
    </row>
    <row r="228" spans="1:31" x14ac:dyDescent="0.35">
      <c r="A228" s="28"/>
      <c r="B228" s="28"/>
      <c r="C228" s="28"/>
      <c r="D228" s="28"/>
      <c r="E228" s="28"/>
      <c r="F228" s="28"/>
      <c r="G228" s="28"/>
      <c r="H228" s="28"/>
      <c r="I228" s="28"/>
      <c r="J228" s="28"/>
      <c r="K228" s="29"/>
      <c r="L228" s="29"/>
      <c r="M228" s="29"/>
      <c r="N228" s="29"/>
      <c r="O228" s="29"/>
      <c r="P228" s="28"/>
      <c r="Q228" s="28"/>
      <c r="R228" s="28"/>
      <c r="S228" s="28"/>
      <c r="T228" s="28"/>
      <c r="U228" s="28"/>
      <c r="V228" s="28"/>
      <c r="W228" s="28"/>
      <c r="X228" s="28"/>
      <c r="Y228" s="30"/>
      <c r="Z228" s="28"/>
      <c r="AA228" s="28"/>
      <c r="AB228" s="28"/>
      <c r="AC228" s="28"/>
      <c r="AD228" s="28"/>
      <c r="AE228" s="28"/>
    </row>
    <row r="229" spans="1:31" x14ac:dyDescent="0.35">
      <c r="A229" s="28"/>
      <c r="B229" s="28"/>
      <c r="C229" s="28"/>
      <c r="D229" s="28"/>
      <c r="E229" s="28"/>
      <c r="F229" s="28"/>
      <c r="G229" s="28"/>
      <c r="H229" s="28"/>
      <c r="I229" s="28"/>
      <c r="J229" s="28"/>
      <c r="K229" s="29"/>
      <c r="L229" s="29"/>
      <c r="M229" s="29"/>
      <c r="N229" s="29"/>
      <c r="O229" s="29"/>
      <c r="P229" s="28"/>
      <c r="Q229" s="28"/>
      <c r="R229" s="28"/>
      <c r="S229" s="28"/>
      <c r="T229" s="28"/>
      <c r="U229" s="28"/>
      <c r="V229" s="28"/>
      <c r="W229" s="28"/>
      <c r="X229" s="28"/>
      <c r="Y229" s="30"/>
      <c r="Z229" s="28"/>
      <c r="AA229" s="28"/>
      <c r="AB229" s="28"/>
      <c r="AC229" s="28"/>
      <c r="AD229" s="28"/>
      <c r="AE229" s="28"/>
    </row>
    <row r="230" spans="1:31" x14ac:dyDescent="0.35">
      <c r="A230" s="28"/>
      <c r="B230" s="28"/>
      <c r="C230" s="28"/>
      <c r="D230" s="28"/>
      <c r="E230" s="28"/>
      <c r="F230" s="28"/>
      <c r="G230" s="28"/>
      <c r="H230" s="28"/>
      <c r="I230" s="28"/>
      <c r="J230" s="28"/>
      <c r="K230" s="29"/>
      <c r="L230" s="29"/>
      <c r="M230" s="29"/>
      <c r="N230" s="29"/>
      <c r="O230" s="29"/>
      <c r="P230" s="28"/>
      <c r="Q230" s="28"/>
      <c r="R230" s="28"/>
      <c r="S230" s="28"/>
      <c r="T230" s="28"/>
      <c r="U230" s="28"/>
      <c r="V230" s="28"/>
      <c r="W230" s="28"/>
      <c r="X230" s="28"/>
      <c r="Y230" s="30"/>
      <c r="Z230" s="28"/>
      <c r="AA230" s="28"/>
      <c r="AB230" s="28"/>
      <c r="AC230" s="28"/>
      <c r="AD230" s="28"/>
      <c r="AE230" s="28"/>
    </row>
    <row r="231" spans="1:31" x14ac:dyDescent="0.35">
      <c r="A231" s="28"/>
      <c r="B231" s="28"/>
      <c r="C231" s="28"/>
      <c r="D231" s="28"/>
      <c r="E231" s="28"/>
      <c r="F231" s="28"/>
      <c r="G231" s="28"/>
      <c r="H231" s="28"/>
      <c r="I231" s="28"/>
      <c r="J231" s="28"/>
      <c r="K231" s="29"/>
      <c r="L231" s="29"/>
      <c r="M231" s="29"/>
      <c r="N231" s="29"/>
      <c r="O231" s="29"/>
      <c r="P231" s="28"/>
      <c r="Q231" s="28"/>
      <c r="R231" s="28"/>
      <c r="S231" s="28"/>
      <c r="T231" s="28"/>
      <c r="U231" s="28"/>
      <c r="V231" s="28"/>
      <c r="W231" s="28"/>
      <c r="X231" s="28"/>
      <c r="Y231" s="30"/>
      <c r="Z231" s="28"/>
      <c r="AA231" s="28"/>
      <c r="AB231" s="28"/>
      <c r="AC231" s="28"/>
      <c r="AD231" s="28"/>
      <c r="AE231" s="28"/>
    </row>
    <row r="232" spans="1:31" x14ac:dyDescent="0.35">
      <c r="A232" s="28"/>
      <c r="B232" s="28"/>
      <c r="C232" s="28"/>
      <c r="D232" s="28"/>
      <c r="E232" s="28"/>
      <c r="F232" s="28"/>
      <c r="G232" s="28"/>
      <c r="H232" s="28"/>
      <c r="I232" s="28"/>
      <c r="J232" s="28"/>
      <c r="K232" s="29"/>
      <c r="L232" s="29"/>
      <c r="M232" s="29"/>
      <c r="N232" s="29"/>
      <c r="O232" s="29"/>
      <c r="P232" s="28"/>
      <c r="Q232" s="28"/>
      <c r="R232" s="28"/>
      <c r="S232" s="28"/>
      <c r="T232" s="28"/>
      <c r="U232" s="28"/>
      <c r="V232" s="28"/>
      <c r="W232" s="28"/>
      <c r="X232" s="28"/>
      <c r="Y232" s="30"/>
      <c r="Z232" s="28"/>
      <c r="AA232" s="28"/>
      <c r="AB232" s="28"/>
      <c r="AC232" s="28"/>
      <c r="AD232" s="28"/>
      <c r="AE232" s="28"/>
    </row>
    <row r="233" spans="1:31" x14ac:dyDescent="0.35">
      <c r="A233" s="28"/>
      <c r="B233" s="28"/>
      <c r="C233" s="28"/>
      <c r="D233" s="28"/>
      <c r="E233" s="28"/>
      <c r="F233" s="28"/>
      <c r="G233" s="28"/>
      <c r="H233" s="28"/>
      <c r="I233" s="28"/>
      <c r="J233" s="28"/>
      <c r="K233" s="29"/>
      <c r="L233" s="29"/>
      <c r="M233" s="29"/>
      <c r="N233" s="29"/>
      <c r="O233" s="29"/>
      <c r="P233" s="28"/>
      <c r="Q233" s="28"/>
      <c r="R233" s="28"/>
      <c r="S233" s="28"/>
      <c r="T233" s="28"/>
      <c r="U233" s="28"/>
      <c r="V233" s="28"/>
      <c r="W233" s="28"/>
      <c r="X233" s="28"/>
      <c r="Y233" s="30"/>
      <c r="Z233" s="28"/>
      <c r="AA233" s="28"/>
      <c r="AB233" s="28"/>
      <c r="AC233" s="28"/>
      <c r="AD233" s="28"/>
      <c r="AE233" s="28"/>
    </row>
    <row r="234" spans="1:31" x14ac:dyDescent="0.35">
      <c r="A234" s="28"/>
      <c r="B234" s="28"/>
      <c r="C234" s="28"/>
      <c r="D234" s="28"/>
      <c r="E234" s="28"/>
      <c r="F234" s="28"/>
      <c r="G234" s="28"/>
      <c r="H234" s="28"/>
      <c r="I234" s="28"/>
      <c r="J234" s="28"/>
      <c r="K234" s="29"/>
      <c r="L234" s="29"/>
      <c r="M234" s="29"/>
      <c r="N234" s="29"/>
      <c r="O234" s="29"/>
      <c r="P234" s="28"/>
      <c r="Q234" s="28"/>
      <c r="R234" s="28"/>
      <c r="S234" s="28"/>
      <c r="T234" s="28"/>
      <c r="U234" s="28"/>
      <c r="V234" s="28"/>
      <c r="W234" s="28"/>
      <c r="X234" s="28"/>
      <c r="Y234" s="30"/>
      <c r="Z234" s="28"/>
      <c r="AA234" s="28"/>
      <c r="AB234" s="28"/>
      <c r="AC234" s="28"/>
      <c r="AD234" s="28"/>
      <c r="AE234" s="28"/>
    </row>
    <row r="235" spans="1:31" x14ac:dyDescent="0.35">
      <c r="A235" s="28"/>
      <c r="B235" s="28"/>
      <c r="C235" s="28"/>
      <c r="D235" s="28"/>
      <c r="E235" s="28"/>
      <c r="F235" s="28"/>
      <c r="G235" s="28"/>
      <c r="H235" s="28"/>
      <c r="I235" s="28"/>
      <c r="J235" s="28"/>
      <c r="K235" s="29"/>
      <c r="L235" s="29"/>
      <c r="M235" s="29"/>
      <c r="N235" s="29"/>
      <c r="O235" s="29"/>
      <c r="P235" s="28"/>
      <c r="Q235" s="28"/>
      <c r="R235" s="28"/>
      <c r="S235" s="28"/>
      <c r="T235" s="28"/>
      <c r="U235" s="28"/>
      <c r="V235" s="28"/>
      <c r="W235" s="28"/>
      <c r="X235" s="28"/>
      <c r="Y235" s="30"/>
      <c r="Z235" s="28"/>
      <c r="AA235" s="28"/>
      <c r="AB235" s="28"/>
      <c r="AC235" s="28"/>
      <c r="AD235" s="28"/>
      <c r="AE235" s="28"/>
    </row>
    <row r="236" spans="1:31" x14ac:dyDescent="0.35">
      <c r="A236" s="28"/>
      <c r="B236" s="28"/>
      <c r="C236" s="28"/>
      <c r="D236" s="28"/>
      <c r="E236" s="28"/>
      <c r="F236" s="28"/>
      <c r="G236" s="28"/>
      <c r="H236" s="28"/>
      <c r="I236" s="28"/>
      <c r="J236" s="28"/>
      <c r="K236" s="29"/>
      <c r="L236" s="29"/>
      <c r="M236" s="29"/>
      <c r="N236" s="29"/>
      <c r="O236" s="29"/>
      <c r="P236" s="28"/>
      <c r="Q236" s="28"/>
      <c r="R236" s="28"/>
      <c r="S236" s="28"/>
      <c r="T236" s="28"/>
      <c r="U236" s="28"/>
      <c r="V236" s="28"/>
      <c r="W236" s="28"/>
      <c r="X236" s="28"/>
      <c r="Y236" s="30"/>
      <c r="Z236" s="28"/>
      <c r="AA236" s="28"/>
      <c r="AB236" s="28"/>
      <c r="AC236" s="28"/>
      <c r="AD236" s="28"/>
      <c r="AE236" s="28"/>
    </row>
    <row r="237" spans="1:31" x14ac:dyDescent="0.35">
      <c r="A237" s="28"/>
      <c r="B237" s="28"/>
      <c r="C237" s="28"/>
      <c r="D237" s="28"/>
      <c r="E237" s="28"/>
      <c r="F237" s="28"/>
      <c r="G237" s="28"/>
      <c r="H237" s="28"/>
      <c r="I237" s="28"/>
      <c r="J237" s="28"/>
      <c r="K237" s="29"/>
      <c r="L237" s="29"/>
      <c r="M237" s="29"/>
      <c r="N237" s="29"/>
      <c r="O237" s="29"/>
      <c r="P237" s="28"/>
      <c r="Q237" s="28"/>
      <c r="R237" s="28"/>
      <c r="S237" s="28"/>
      <c r="T237" s="28"/>
      <c r="U237" s="28"/>
      <c r="V237" s="28"/>
      <c r="W237" s="28"/>
      <c r="X237" s="28"/>
      <c r="Y237" s="30"/>
      <c r="Z237" s="28"/>
      <c r="AA237" s="28"/>
      <c r="AB237" s="28"/>
      <c r="AC237" s="28"/>
      <c r="AD237" s="28"/>
      <c r="AE237" s="28"/>
    </row>
    <row r="238" spans="1:31" x14ac:dyDescent="0.35">
      <c r="A238" s="28"/>
      <c r="B238" s="28"/>
      <c r="C238" s="28"/>
      <c r="D238" s="28"/>
      <c r="E238" s="28"/>
      <c r="F238" s="28"/>
      <c r="G238" s="28"/>
      <c r="H238" s="28"/>
      <c r="I238" s="28"/>
      <c r="J238" s="28"/>
      <c r="K238" s="29"/>
      <c r="L238" s="29"/>
      <c r="M238" s="29"/>
      <c r="N238" s="29"/>
      <c r="O238" s="29"/>
      <c r="P238" s="28"/>
      <c r="Q238" s="28"/>
      <c r="R238" s="28"/>
      <c r="S238" s="28"/>
      <c r="T238" s="28"/>
      <c r="U238" s="28"/>
      <c r="V238" s="28"/>
      <c r="W238" s="28"/>
      <c r="X238" s="28"/>
      <c r="Y238" s="30"/>
      <c r="Z238" s="28"/>
      <c r="AA238" s="28"/>
      <c r="AB238" s="28"/>
      <c r="AC238" s="28"/>
      <c r="AD238" s="28"/>
      <c r="AE238" s="28"/>
    </row>
    <row r="239" spans="1:31" x14ac:dyDescent="0.35">
      <c r="A239" s="28"/>
      <c r="B239" s="28"/>
      <c r="C239" s="28"/>
      <c r="D239" s="28"/>
      <c r="E239" s="28"/>
      <c r="F239" s="28"/>
      <c r="G239" s="28"/>
      <c r="H239" s="28"/>
      <c r="I239" s="28"/>
      <c r="J239" s="28"/>
      <c r="K239" s="29"/>
      <c r="L239" s="29"/>
      <c r="M239" s="29"/>
      <c r="N239" s="29"/>
      <c r="O239" s="29"/>
      <c r="P239" s="28"/>
      <c r="Q239" s="28"/>
      <c r="R239" s="28"/>
      <c r="S239" s="28"/>
      <c r="T239" s="28"/>
      <c r="U239" s="28"/>
      <c r="V239" s="28"/>
      <c r="W239" s="28"/>
      <c r="X239" s="28"/>
      <c r="Y239" s="30"/>
      <c r="Z239" s="28"/>
      <c r="AA239" s="28"/>
      <c r="AB239" s="28"/>
      <c r="AC239" s="28"/>
      <c r="AD239" s="28"/>
      <c r="AE239" s="28"/>
    </row>
    <row r="240" spans="1:31" x14ac:dyDescent="0.35">
      <c r="A240" s="28"/>
      <c r="B240" s="28"/>
      <c r="C240" s="28"/>
      <c r="D240" s="28"/>
      <c r="E240" s="28"/>
      <c r="F240" s="28"/>
      <c r="G240" s="28"/>
      <c r="H240" s="28"/>
      <c r="I240" s="28"/>
      <c r="J240" s="28"/>
      <c r="K240" s="29"/>
      <c r="L240" s="29"/>
      <c r="M240" s="29"/>
      <c r="N240" s="29"/>
      <c r="O240" s="29"/>
      <c r="P240" s="28"/>
      <c r="Q240" s="28"/>
      <c r="R240" s="28"/>
      <c r="S240" s="28"/>
      <c r="T240" s="28"/>
      <c r="U240" s="28"/>
      <c r="V240" s="28"/>
      <c r="W240" s="28"/>
      <c r="X240" s="28"/>
      <c r="Y240" s="30"/>
      <c r="Z240" s="28"/>
      <c r="AA240" s="28"/>
      <c r="AB240" s="28"/>
      <c r="AC240" s="28"/>
      <c r="AD240" s="28"/>
      <c r="AE240" s="28"/>
    </row>
    <row r="241" spans="1:31" x14ac:dyDescent="0.35">
      <c r="A241" s="28"/>
      <c r="B241" s="28"/>
      <c r="C241" s="28"/>
      <c r="D241" s="28"/>
      <c r="E241" s="28"/>
      <c r="F241" s="28"/>
      <c r="G241" s="28"/>
      <c r="H241" s="28"/>
      <c r="I241" s="28"/>
      <c r="J241" s="28"/>
      <c r="K241" s="29"/>
      <c r="L241" s="29"/>
      <c r="M241" s="29"/>
      <c r="N241" s="29"/>
      <c r="O241" s="29"/>
      <c r="P241" s="28"/>
      <c r="Q241" s="28"/>
      <c r="R241" s="28"/>
      <c r="S241" s="28"/>
      <c r="T241" s="28"/>
      <c r="U241" s="28"/>
      <c r="V241" s="28"/>
      <c r="W241" s="28"/>
      <c r="X241" s="28"/>
      <c r="Y241" s="30"/>
      <c r="Z241" s="28"/>
      <c r="AA241" s="28"/>
      <c r="AB241" s="28"/>
      <c r="AC241" s="28"/>
      <c r="AD241" s="28"/>
      <c r="AE241" s="28"/>
    </row>
    <row r="242" spans="1:31" x14ac:dyDescent="0.35">
      <c r="A242" s="28"/>
      <c r="B242" s="28"/>
      <c r="C242" s="28"/>
      <c r="D242" s="28"/>
      <c r="E242" s="28"/>
      <c r="F242" s="28"/>
      <c r="G242" s="28"/>
      <c r="H242" s="28"/>
      <c r="I242" s="28"/>
      <c r="J242" s="28"/>
      <c r="K242" s="29"/>
      <c r="L242" s="29"/>
      <c r="M242" s="29"/>
      <c r="N242" s="29"/>
      <c r="O242" s="29"/>
      <c r="P242" s="28"/>
      <c r="Q242" s="28"/>
      <c r="R242" s="28"/>
      <c r="S242" s="28"/>
      <c r="T242" s="28"/>
      <c r="U242" s="28"/>
      <c r="V242" s="28"/>
      <c r="W242" s="28"/>
      <c r="X242" s="28"/>
      <c r="Y242" s="30"/>
      <c r="Z242" s="28"/>
      <c r="AA242" s="28"/>
      <c r="AB242" s="28"/>
      <c r="AC242" s="28"/>
      <c r="AD242" s="28"/>
      <c r="AE242" s="28"/>
    </row>
    <row r="243" spans="1:31" x14ac:dyDescent="0.35">
      <c r="A243" s="28"/>
      <c r="B243" s="28"/>
      <c r="C243" s="28"/>
      <c r="D243" s="28"/>
      <c r="E243" s="28"/>
      <c r="F243" s="28"/>
      <c r="G243" s="28"/>
      <c r="H243" s="28"/>
      <c r="I243" s="28"/>
      <c r="J243" s="28"/>
      <c r="K243" s="29"/>
      <c r="L243" s="29"/>
      <c r="M243" s="29"/>
      <c r="N243" s="29"/>
      <c r="O243" s="29"/>
      <c r="P243" s="28"/>
      <c r="Q243" s="28"/>
      <c r="R243" s="28"/>
      <c r="S243" s="28"/>
      <c r="T243" s="28"/>
      <c r="U243" s="28"/>
      <c r="V243" s="28"/>
      <c r="W243" s="28"/>
      <c r="X243" s="28"/>
      <c r="Y243" s="30"/>
      <c r="Z243" s="28"/>
      <c r="AA243" s="28"/>
      <c r="AB243" s="28"/>
      <c r="AC243" s="28"/>
      <c r="AD243" s="28"/>
      <c r="AE243" s="28"/>
    </row>
    <row r="244" spans="1:31" x14ac:dyDescent="0.35">
      <c r="A244" s="28"/>
      <c r="B244" s="28"/>
      <c r="C244" s="28"/>
      <c r="D244" s="28"/>
      <c r="E244" s="28"/>
      <c r="F244" s="28"/>
      <c r="G244" s="28"/>
      <c r="H244" s="28"/>
      <c r="I244" s="28"/>
      <c r="J244" s="28"/>
      <c r="K244" s="29"/>
      <c r="L244" s="29"/>
      <c r="M244" s="29"/>
      <c r="N244" s="29"/>
      <c r="O244" s="29"/>
      <c r="P244" s="28"/>
      <c r="Q244" s="28"/>
      <c r="R244" s="28"/>
      <c r="S244" s="28"/>
      <c r="T244" s="28"/>
      <c r="U244" s="28"/>
      <c r="V244" s="28"/>
      <c r="W244" s="28"/>
      <c r="X244" s="28"/>
      <c r="Y244" s="30"/>
      <c r="Z244" s="28"/>
      <c r="AA244" s="28"/>
      <c r="AB244" s="28"/>
      <c r="AC244" s="28"/>
      <c r="AD244" s="28"/>
      <c r="AE244" s="28"/>
    </row>
    <row r="245" spans="1:31" x14ac:dyDescent="0.35">
      <c r="A245" s="28"/>
      <c r="B245" s="28"/>
      <c r="C245" s="28"/>
      <c r="D245" s="28"/>
      <c r="E245" s="28"/>
      <c r="F245" s="28"/>
      <c r="G245" s="28"/>
      <c r="H245" s="28"/>
      <c r="I245" s="28"/>
      <c r="J245" s="28"/>
      <c r="K245" s="29"/>
      <c r="L245" s="29"/>
      <c r="M245" s="29"/>
      <c r="N245" s="29"/>
      <c r="O245" s="29"/>
      <c r="P245" s="28"/>
      <c r="Q245" s="28"/>
      <c r="R245" s="28"/>
      <c r="S245" s="28"/>
      <c r="T245" s="28"/>
      <c r="U245" s="28"/>
      <c r="V245" s="28"/>
      <c r="W245" s="28"/>
      <c r="X245" s="28"/>
      <c r="Y245" s="30"/>
      <c r="Z245" s="28"/>
      <c r="AA245" s="28"/>
      <c r="AB245" s="28"/>
      <c r="AC245" s="28"/>
      <c r="AD245" s="28"/>
      <c r="AE245" s="28"/>
    </row>
    <row r="246" spans="1:31" x14ac:dyDescent="0.35">
      <c r="A246" s="28"/>
      <c r="B246" s="28"/>
      <c r="C246" s="28"/>
      <c r="D246" s="28"/>
      <c r="E246" s="28"/>
      <c r="F246" s="28"/>
      <c r="G246" s="28"/>
      <c r="H246" s="28"/>
      <c r="I246" s="28"/>
      <c r="J246" s="28"/>
      <c r="K246" s="29"/>
      <c r="L246" s="29"/>
      <c r="M246" s="29"/>
      <c r="N246" s="29"/>
      <c r="O246" s="29"/>
      <c r="P246" s="28"/>
      <c r="Q246" s="28"/>
      <c r="R246" s="28"/>
      <c r="S246" s="28"/>
      <c r="T246" s="28"/>
      <c r="U246" s="28"/>
      <c r="V246" s="28"/>
      <c r="W246" s="28"/>
      <c r="X246" s="28"/>
      <c r="Y246" s="30"/>
      <c r="Z246" s="28"/>
      <c r="AA246" s="28"/>
      <c r="AB246" s="28"/>
      <c r="AC246" s="28"/>
      <c r="AD246" s="28"/>
      <c r="AE246" s="28"/>
    </row>
    <row r="247" spans="1:31" x14ac:dyDescent="0.35">
      <c r="A247" s="28"/>
      <c r="B247" s="28"/>
      <c r="C247" s="28"/>
      <c r="D247" s="28"/>
      <c r="E247" s="28"/>
      <c r="F247" s="28"/>
      <c r="G247" s="28"/>
      <c r="H247" s="28"/>
      <c r="I247" s="28"/>
      <c r="J247" s="28"/>
      <c r="K247" s="29"/>
      <c r="L247" s="29"/>
      <c r="M247" s="29"/>
      <c r="N247" s="29"/>
      <c r="O247" s="29"/>
      <c r="P247" s="28"/>
      <c r="Q247" s="28"/>
      <c r="R247" s="28"/>
      <c r="S247" s="28"/>
      <c r="T247" s="28"/>
      <c r="U247" s="28"/>
      <c r="V247" s="28"/>
      <c r="W247" s="28"/>
      <c r="X247" s="28"/>
      <c r="Y247" s="30"/>
      <c r="Z247" s="28"/>
      <c r="AA247" s="28"/>
      <c r="AB247" s="28"/>
      <c r="AC247" s="28"/>
      <c r="AD247" s="28"/>
      <c r="AE247" s="28"/>
    </row>
    <row r="248" spans="1:31" x14ac:dyDescent="0.35">
      <c r="A248" s="28"/>
      <c r="B248" s="28"/>
      <c r="C248" s="28"/>
      <c r="D248" s="28"/>
      <c r="E248" s="28"/>
      <c r="F248" s="28"/>
      <c r="G248" s="28"/>
      <c r="H248" s="28"/>
      <c r="I248" s="28"/>
      <c r="J248" s="28"/>
      <c r="K248" s="29"/>
      <c r="L248" s="29"/>
      <c r="M248" s="29"/>
      <c r="N248" s="29"/>
      <c r="O248" s="29"/>
      <c r="P248" s="28"/>
      <c r="Q248" s="28"/>
      <c r="R248" s="28"/>
      <c r="S248" s="28"/>
      <c r="T248" s="28"/>
      <c r="U248" s="28"/>
      <c r="V248" s="28"/>
      <c r="W248" s="28"/>
      <c r="X248" s="28"/>
      <c r="Y248" s="30"/>
      <c r="Z248" s="28"/>
      <c r="AA248" s="28"/>
      <c r="AB248" s="28"/>
      <c r="AC248" s="28"/>
      <c r="AD248" s="28"/>
      <c r="AE248" s="28"/>
    </row>
    <row r="249" spans="1:31" x14ac:dyDescent="0.35">
      <c r="A249" s="28"/>
      <c r="B249" s="28"/>
      <c r="C249" s="28"/>
      <c r="D249" s="28"/>
      <c r="E249" s="28"/>
      <c r="F249" s="28"/>
      <c r="G249" s="28"/>
      <c r="H249" s="28"/>
      <c r="I249" s="28"/>
      <c r="J249" s="28"/>
      <c r="K249" s="29"/>
      <c r="L249" s="29"/>
      <c r="M249" s="29"/>
      <c r="N249" s="29"/>
      <c r="O249" s="29"/>
      <c r="P249" s="28"/>
      <c r="Q249" s="28"/>
      <c r="R249" s="28"/>
      <c r="S249" s="28"/>
      <c r="T249" s="28"/>
      <c r="U249" s="28"/>
      <c r="V249" s="28"/>
      <c r="W249" s="28"/>
      <c r="X249" s="28"/>
      <c r="Y249" s="30"/>
      <c r="Z249" s="28"/>
      <c r="AA249" s="28"/>
      <c r="AB249" s="28"/>
      <c r="AC249" s="28"/>
      <c r="AD249" s="28"/>
      <c r="AE249" s="28"/>
    </row>
    <row r="250" spans="1:31" x14ac:dyDescent="0.35">
      <c r="A250" s="28"/>
      <c r="B250" s="28"/>
      <c r="C250" s="28"/>
      <c r="D250" s="28"/>
      <c r="E250" s="28"/>
      <c r="F250" s="28"/>
      <c r="G250" s="28"/>
      <c r="H250" s="28"/>
      <c r="I250" s="28"/>
      <c r="J250" s="28"/>
      <c r="K250" s="29"/>
      <c r="L250" s="29"/>
      <c r="M250" s="29"/>
      <c r="N250" s="29"/>
      <c r="O250" s="29"/>
      <c r="P250" s="28"/>
      <c r="Q250" s="28"/>
      <c r="R250" s="28"/>
      <c r="S250" s="28"/>
      <c r="T250" s="28"/>
      <c r="U250" s="28"/>
      <c r="V250" s="28"/>
      <c r="W250" s="28"/>
      <c r="X250" s="28"/>
      <c r="Y250" s="30"/>
      <c r="Z250" s="28"/>
      <c r="AA250" s="28"/>
      <c r="AB250" s="28"/>
      <c r="AC250" s="28"/>
      <c r="AD250" s="28"/>
      <c r="AE250" s="28"/>
    </row>
    <row r="251" spans="1:31" x14ac:dyDescent="0.35">
      <c r="A251" s="28"/>
      <c r="B251" s="28"/>
      <c r="C251" s="28"/>
      <c r="D251" s="28"/>
      <c r="E251" s="28"/>
      <c r="F251" s="28"/>
      <c r="G251" s="28"/>
      <c r="H251" s="28"/>
      <c r="I251" s="28"/>
      <c r="J251" s="28"/>
      <c r="K251" s="29"/>
      <c r="L251" s="29"/>
      <c r="M251" s="29"/>
      <c r="N251" s="29"/>
      <c r="O251" s="29"/>
      <c r="P251" s="28"/>
      <c r="Q251" s="28"/>
      <c r="R251" s="28"/>
      <c r="S251" s="28"/>
      <c r="T251" s="28"/>
      <c r="U251" s="28"/>
      <c r="V251" s="28"/>
      <c r="W251" s="28"/>
      <c r="X251" s="28"/>
      <c r="Y251" s="30"/>
      <c r="Z251" s="28"/>
      <c r="AA251" s="28"/>
      <c r="AB251" s="28"/>
      <c r="AC251" s="28"/>
      <c r="AD251" s="28"/>
      <c r="AE251" s="28"/>
    </row>
    <row r="252" spans="1:31" x14ac:dyDescent="0.35">
      <c r="A252" s="28"/>
      <c r="B252" s="28"/>
      <c r="C252" s="28"/>
      <c r="D252" s="28"/>
      <c r="E252" s="28"/>
      <c r="F252" s="28"/>
      <c r="G252" s="28"/>
      <c r="H252" s="28"/>
      <c r="I252" s="28"/>
      <c r="J252" s="28"/>
      <c r="K252" s="29"/>
      <c r="L252" s="29"/>
      <c r="M252" s="29"/>
      <c r="N252" s="29"/>
      <c r="O252" s="29"/>
      <c r="P252" s="28"/>
      <c r="Q252" s="28"/>
      <c r="R252" s="28"/>
      <c r="S252" s="28"/>
      <c r="T252" s="28"/>
      <c r="U252" s="28"/>
      <c r="V252" s="28"/>
      <c r="W252" s="28"/>
      <c r="X252" s="28"/>
      <c r="Y252" s="30"/>
      <c r="Z252" s="28"/>
      <c r="AA252" s="28"/>
      <c r="AB252" s="28"/>
      <c r="AC252" s="28"/>
      <c r="AD252" s="28"/>
      <c r="AE252" s="28"/>
    </row>
    <row r="253" spans="1:31" x14ac:dyDescent="0.35">
      <c r="A253" s="28"/>
      <c r="B253" s="28"/>
      <c r="C253" s="28"/>
      <c r="D253" s="28"/>
      <c r="E253" s="28"/>
      <c r="F253" s="28"/>
      <c r="G253" s="28"/>
      <c r="H253" s="28"/>
      <c r="I253" s="28"/>
      <c r="J253" s="28"/>
      <c r="K253" s="29"/>
      <c r="L253" s="29"/>
      <c r="M253" s="29"/>
      <c r="N253" s="29"/>
      <c r="O253" s="29"/>
      <c r="P253" s="28"/>
      <c r="Q253" s="28"/>
      <c r="R253" s="28"/>
      <c r="S253" s="28"/>
      <c r="T253" s="28"/>
      <c r="U253" s="28"/>
      <c r="V253" s="28"/>
      <c r="W253" s="28"/>
      <c r="X253" s="28"/>
      <c r="Y253" s="30"/>
      <c r="Z253" s="28"/>
      <c r="AA253" s="28"/>
      <c r="AB253" s="28"/>
      <c r="AC253" s="28"/>
      <c r="AD253" s="28"/>
      <c r="AE253" s="28"/>
    </row>
    <row r="254" spans="1:31" x14ac:dyDescent="0.35">
      <c r="A254" s="28"/>
      <c r="B254" s="28"/>
      <c r="C254" s="28"/>
      <c r="D254" s="28"/>
      <c r="E254" s="28"/>
      <c r="F254" s="28"/>
      <c r="G254" s="28"/>
      <c r="H254" s="28"/>
      <c r="I254" s="28"/>
      <c r="J254" s="28"/>
      <c r="K254" s="29"/>
      <c r="L254" s="29"/>
      <c r="M254" s="29"/>
      <c r="N254" s="29"/>
      <c r="O254" s="29"/>
      <c r="P254" s="28"/>
      <c r="Q254" s="28"/>
      <c r="R254" s="28"/>
      <c r="S254" s="28"/>
      <c r="T254" s="28"/>
      <c r="U254" s="28"/>
      <c r="V254" s="28"/>
      <c r="W254" s="28"/>
      <c r="X254" s="28"/>
      <c r="Y254" s="30"/>
      <c r="Z254" s="28"/>
      <c r="AA254" s="28"/>
      <c r="AB254" s="28"/>
      <c r="AC254" s="28"/>
      <c r="AD254" s="28"/>
      <c r="AE254" s="28"/>
    </row>
    <row r="255" spans="1:31" x14ac:dyDescent="0.35">
      <c r="A255" s="28"/>
      <c r="B255" s="28"/>
      <c r="C255" s="28"/>
      <c r="D255" s="28"/>
      <c r="E255" s="28"/>
      <c r="F255" s="28"/>
      <c r="G255" s="28"/>
      <c r="H255" s="28"/>
      <c r="I255" s="28"/>
      <c r="J255" s="28"/>
      <c r="K255" s="29"/>
      <c r="L255" s="29"/>
      <c r="M255" s="29"/>
      <c r="N255" s="29"/>
      <c r="O255" s="29"/>
      <c r="P255" s="28"/>
      <c r="Q255" s="28"/>
      <c r="R255" s="28"/>
      <c r="S255" s="28"/>
      <c r="T255" s="28"/>
      <c r="U255" s="28"/>
      <c r="V255" s="28"/>
      <c r="W255" s="28"/>
      <c r="X255" s="28"/>
      <c r="Y255" s="30"/>
      <c r="Z255" s="28"/>
      <c r="AA255" s="28"/>
      <c r="AB255" s="28"/>
      <c r="AC255" s="28"/>
      <c r="AD255" s="28"/>
      <c r="AE255" s="28"/>
    </row>
    <row r="256" spans="1:31" x14ac:dyDescent="0.35">
      <c r="A256" s="28"/>
      <c r="B256" s="28"/>
      <c r="C256" s="28"/>
      <c r="D256" s="28"/>
      <c r="E256" s="28"/>
      <c r="F256" s="28"/>
      <c r="G256" s="28"/>
      <c r="H256" s="28"/>
      <c r="I256" s="28"/>
      <c r="J256" s="28"/>
      <c r="K256" s="29"/>
      <c r="L256" s="29"/>
      <c r="M256" s="29"/>
      <c r="N256" s="29"/>
      <c r="O256" s="29"/>
      <c r="P256" s="28"/>
      <c r="Q256" s="28"/>
      <c r="R256" s="28"/>
      <c r="S256" s="28"/>
      <c r="T256" s="28"/>
      <c r="U256" s="28"/>
      <c r="V256" s="28"/>
      <c r="W256" s="28"/>
      <c r="X256" s="28"/>
      <c r="Y256" s="30"/>
      <c r="Z256" s="28"/>
      <c r="AA256" s="28"/>
      <c r="AB256" s="28"/>
      <c r="AC256" s="28"/>
      <c r="AD256" s="28"/>
      <c r="AE256" s="28"/>
    </row>
    <row r="257" spans="1:31" x14ac:dyDescent="0.35">
      <c r="A257" s="28"/>
      <c r="B257" s="28"/>
      <c r="C257" s="28"/>
      <c r="D257" s="28"/>
      <c r="E257" s="28"/>
      <c r="F257" s="28"/>
      <c r="G257" s="28"/>
      <c r="H257" s="28"/>
      <c r="I257" s="28"/>
      <c r="J257" s="28"/>
      <c r="K257" s="29"/>
      <c r="L257" s="29"/>
      <c r="M257" s="29"/>
      <c r="N257" s="29"/>
      <c r="O257" s="29"/>
      <c r="P257" s="28"/>
      <c r="Q257" s="28"/>
      <c r="R257" s="28"/>
      <c r="S257" s="28"/>
      <c r="T257" s="28"/>
      <c r="U257" s="28"/>
      <c r="V257" s="28"/>
      <c r="W257" s="28"/>
      <c r="X257" s="28"/>
      <c r="Y257" s="30"/>
      <c r="Z257" s="28"/>
      <c r="AA257" s="28"/>
      <c r="AB257" s="28"/>
      <c r="AC257" s="28"/>
      <c r="AD257" s="28"/>
      <c r="AE257" s="28"/>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6"/>
  <sheetViews>
    <sheetView topLeftCell="C1" zoomScale="85" zoomScaleNormal="85" workbookViewId="0">
      <selection activeCell="L26" sqref="L26"/>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x14ac:dyDescent="0.35">
      <c r="A1" s="32" t="s">
        <v>4</v>
      </c>
      <c r="B1" s="34" t="s">
        <v>78</v>
      </c>
      <c r="C1" s="34" t="s">
        <v>26</v>
      </c>
      <c r="D1" s="34" t="s">
        <v>79</v>
      </c>
      <c r="E1" s="34" t="s">
        <v>80</v>
      </c>
      <c r="F1" s="34" t="s">
        <v>81</v>
      </c>
      <c r="G1" s="34" t="s">
        <v>82</v>
      </c>
      <c r="H1" s="34" t="s">
        <v>83</v>
      </c>
      <c r="I1" s="34" t="s">
        <v>244</v>
      </c>
      <c r="J1" s="34" t="s">
        <v>24</v>
      </c>
      <c r="K1" s="9" t="s">
        <v>46</v>
      </c>
      <c r="L1" s="9" t="s">
        <v>4</v>
      </c>
      <c r="M1" s="9" t="s">
        <v>47</v>
      </c>
      <c r="N1" s="9" t="s">
        <v>726</v>
      </c>
      <c r="O1" s="9" t="s">
        <v>732</v>
      </c>
      <c r="P1" s="9" t="s">
        <v>24</v>
      </c>
    </row>
    <row r="2" spans="1:16" ht="15" thickBot="1" x14ac:dyDescent="0.4">
      <c r="A2" t="str">
        <f>VLOOKUP(Tabla3[[#This Row],[Empleado]],'Tabla dinam gestion comercial'!O:P,2,0)</f>
        <v>GALAGRO BOYACA NAL.</v>
      </c>
      <c r="B2" s="21" t="s">
        <v>838</v>
      </c>
      <c r="C2" s="15" t="s">
        <v>612</v>
      </c>
      <c r="D2" s="20">
        <v>1</v>
      </c>
      <c r="E2" s="20"/>
      <c r="F2" s="20">
        <v>1</v>
      </c>
      <c r="G2" s="19">
        <v>1</v>
      </c>
      <c r="H2" s="20"/>
      <c r="I2" s="20" t="s">
        <v>245</v>
      </c>
      <c r="J2" s="24">
        <f>Tabla3[[#This Row],[Calificados Oportunos]]/Tabla3[[#This Row],[Meta Leads]]</f>
        <v>0</v>
      </c>
      <c r="K2" s="3" t="s">
        <v>446</v>
      </c>
      <c r="L2" s="6" t="s">
        <v>794</v>
      </c>
      <c r="M2" t="s">
        <v>818</v>
      </c>
      <c r="N2">
        <f>IFERROR(SUMIFS($D:$D,$A:$A,$L2,$C:$C,"*"&amp;TRIM($K2)&amp;"*"),0)</f>
        <v>0</v>
      </c>
      <c r="O2">
        <f>IFERROR(SUMIFS($E:$E,$A:$A,$L2,$C:$C,"*"&amp;TRIM($K2)&amp;"*"),0)+IFERROR(SUMIFS($F:$F,$A:$A,$L2,$C:$C,"*"&amp;TRIM($K2)&amp;"*"),0)</f>
        <v>0</v>
      </c>
      <c r="P2">
        <f>IFERROR(SUMIFS($E:$E,$A:$A,$L2,$C:$C,"*"&amp;TRIM($K2)&amp;"*"),0)</f>
        <v>0</v>
      </c>
    </row>
    <row r="3" spans="1:16" ht="15" thickBot="1" x14ac:dyDescent="0.4">
      <c r="A3" t="str">
        <f>VLOOKUP(Tabla3[[#This Row],[Empleado]],'Tabla dinam gestion comercial'!O:P,2,0)</f>
        <v>GALAGRO EJE CAFETERO Y VALLE NORTE NAL.</v>
      </c>
      <c r="B3" s="21" t="s">
        <v>838</v>
      </c>
      <c r="C3" s="40" t="s">
        <v>623</v>
      </c>
      <c r="D3" s="20">
        <v>1</v>
      </c>
      <c r="E3" s="20"/>
      <c r="F3" s="20">
        <v>1</v>
      </c>
      <c r="G3" s="19">
        <v>1</v>
      </c>
      <c r="H3" s="20"/>
      <c r="I3" s="20" t="s">
        <v>245</v>
      </c>
      <c r="J3" s="24">
        <f>Tabla3[[#This Row],[Calificados Oportunos]]/Tabla3[[#This Row],[Meta Leads]]</f>
        <v>0</v>
      </c>
      <c r="K3" s="41" t="s">
        <v>796</v>
      </c>
      <c r="L3" s="6" t="s">
        <v>376</v>
      </c>
      <c r="M3" t="s">
        <v>819</v>
      </c>
      <c r="N3">
        <f t="shared" ref="N3:N25" si="0">IFERROR(SUMIFS($D:$D,$A:$A,$L3,$C:$C,"*"&amp;TRIM($K3)&amp;"*"),0)</f>
        <v>0</v>
      </c>
      <c r="O3">
        <f t="shared" ref="O3:O25" si="1">IFERROR(SUMIFS($E:$E,$A:$A,$L3,$C:$C,"*"&amp;TRIM($K3)&amp;"*"),0)+IFERROR(SUMIFS($F:$F,$A:$A,$L3,$C:$C,"*"&amp;TRIM($K3)&amp;"*"),0)</f>
        <v>0</v>
      </c>
      <c r="P3">
        <f t="shared" ref="P3:P25" si="2">IFERROR(SUMIFS($E:$E,$A:$A,$L3,$C:$C,"*"&amp;TRIM($K3)&amp;"*"),0)</f>
        <v>0</v>
      </c>
    </row>
    <row r="4" spans="1:16" ht="15" thickBot="1" x14ac:dyDescent="0.4">
      <c r="A4" t="e">
        <f>VLOOKUP(Tabla3[[#This Row],[Empleado]],'Tabla dinam gestion comercial'!O:P,2,0)</f>
        <v>#N/A</v>
      </c>
      <c r="B4" s="21" t="s">
        <v>838</v>
      </c>
      <c r="C4" s="15" t="s">
        <v>839</v>
      </c>
      <c r="D4" s="20">
        <v>1</v>
      </c>
      <c r="E4" s="20"/>
      <c r="F4" s="20">
        <v>1</v>
      </c>
      <c r="G4" s="19">
        <v>1</v>
      </c>
      <c r="H4" s="20"/>
      <c r="I4" s="20" t="s">
        <v>247</v>
      </c>
      <c r="J4" s="24">
        <f>Tabla3[[#This Row],[Calificados Oportunos]]/Tabla3[[#This Row],[Meta Leads]]</f>
        <v>0</v>
      </c>
      <c r="K4" s="40" t="s">
        <v>580</v>
      </c>
      <c r="L4" s="6" t="s">
        <v>376</v>
      </c>
      <c r="M4" t="s">
        <v>820</v>
      </c>
      <c r="N4">
        <f t="shared" si="0"/>
        <v>0</v>
      </c>
      <c r="O4">
        <f t="shared" si="1"/>
        <v>0</v>
      </c>
      <c r="P4">
        <f t="shared" si="2"/>
        <v>0</v>
      </c>
    </row>
    <row r="5" spans="1:16" x14ac:dyDescent="0.35">
      <c r="A5" t="str">
        <f>VLOOKUP(Tabla3[[#This Row],[Empleado]],'Tabla dinam gestion comercial'!O:P,2,0)</f>
        <v>GALAGRO CAUCA NAL.</v>
      </c>
      <c r="B5" s="21" t="s">
        <v>838</v>
      </c>
      <c r="C5" s="40" t="s">
        <v>808</v>
      </c>
      <c r="D5" s="20">
        <v>1</v>
      </c>
      <c r="E5" s="20"/>
      <c r="F5" s="20">
        <v>1</v>
      </c>
      <c r="G5" s="19">
        <v>1</v>
      </c>
      <c r="H5" s="20"/>
      <c r="I5" s="20" t="s">
        <v>248</v>
      </c>
      <c r="J5" s="24">
        <f>Tabla3[[#This Row],[Calificados Oportunos]]/Tabla3[[#This Row],[Meta Leads]]</f>
        <v>0</v>
      </c>
      <c r="K5" s="42" t="s">
        <v>612</v>
      </c>
      <c r="L5" s="6" t="s">
        <v>376</v>
      </c>
      <c r="M5" t="s">
        <v>821</v>
      </c>
      <c r="N5">
        <f t="shared" si="0"/>
        <v>2</v>
      </c>
      <c r="O5">
        <f t="shared" si="1"/>
        <v>2</v>
      </c>
      <c r="P5">
        <f t="shared" si="2"/>
        <v>1</v>
      </c>
    </row>
    <row r="6" spans="1:16" x14ac:dyDescent="0.35">
      <c r="A6" t="str">
        <f>VLOOKUP(Tabla3[[#This Row],[Empleado]],'Tabla dinam gestion comercial'!O:P,2,0)</f>
        <v>GALAGRO BOYACA NAL.</v>
      </c>
      <c r="B6" s="21" t="s">
        <v>838</v>
      </c>
      <c r="C6" s="15" t="s">
        <v>612</v>
      </c>
      <c r="D6" s="20">
        <v>1</v>
      </c>
      <c r="E6" s="20">
        <v>1</v>
      </c>
      <c r="F6" s="20"/>
      <c r="G6" s="19">
        <v>1</v>
      </c>
      <c r="H6" s="20"/>
      <c r="I6" s="20" t="s">
        <v>248</v>
      </c>
      <c r="J6" s="24">
        <f>Tabla3[[#This Row],[Calificados Oportunos]]/Tabla3[[#This Row],[Meta Leads]]</f>
        <v>1</v>
      </c>
      <c r="K6" s="7" t="s">
        <v>462</v>
      </c>
      <c r="L6" s="6" t="s">
        <v>144</v>
      </c>
      <c r="M6" t="s">
        <v>822</v>
      </c>
      <c r="N6">
        <f t="shared" si="0"/>
        <v>0</v>
      </c>
      <c r="O6">
        <f t="shared" si="1"/>
        <v>0</v>
      </c>
      <c r="P6">
        <f t="shared" si="2"/>
        <v>0</v>
      </c>
    </row>
    <row r="7" spans="1:16" x14ac:dyDescent="0.35">
      <c r="B7" s="21"/>
      <c r="C7" s="15"/>
      <c r="D7" s="20"/>
      <c r="E7" s="20"/>
      <c r="F7" s="20"/>
      <c r="G7" s="19"/>
      <c r="H7" s="20"/>
      <c r="I7" s="20"/>
      <c r="J7" s="24"/>
      <c r="K7" s="7" t="s">
        <v>808</v>
      </c>
      <c r="L7" s="6" t="s">
        <v>144</v>
      </c>
      <c r="M7" t="s">
        <v>824</v>
      </c>
      <c r="N7">
        <f t="shared" si="0"/>
        <v>1</v>
      </c>
      <c r="O7">
        <f t="shared" si="1"/>
        <v>1</v>
      </c>
      <c r="P7">
        <f t="shared" si="2"/>
        <v>0</v>
      </c>
    </row>
    <row r="8" spans="1:16" x14ac:dyDescent="0.35">
      <c r="B8" s="21"/>
      <c r="C8" s="15"/>
      <c r="D8" s="20"/>
      <c r="E8" s="20"/>
      <c r="F8" s="20"/>
      <c r="G8" s="19"/>
      <c r="H8" s="20"/>
      <c r="I8" s="20"/>
      <c r="J8" s="24"/>
      <c r="K8" s="43" t="s">
        <v>446</v>
      </c>
      <c r="L8" s="6" t="s">
        <v>797</v>
      </c>
      <c r="M8" t="s">
        <v>818</v>
      </c>
      <c r="N8">
        <f t="shared" si="0"/>
        <v>0</v>
      </c>
      <c r="O8">
        <f t="shared" si="1"/>
        <v>0</v>
      </c>
      <c r="P8">
        <f t="shared" si="2"/>
        <v>0</v>
      </c>
    </row>
    <row r="9" spans="1:16" x14ac:dyDescent="0.35">
      <c r="B9" s="21"/>
      <c r="C9" s="15"/>
      <c r="D9" s="20"/>
      <c r="E9" s="20"/>
      <c r="F9" s="20"/>
      <c r="G9" s="19"/>
      <c r="H9" s="20"/>
      <c r="I9" s="20"/>
      <c r="J9" s="24"/>
      <c r="K9" s="7" t="s">
        <v>798</v>
      </c>
      <c r="L9" s="6" t="s">
        <v>797</v>
      </c>
      <c r="M9" t="s">
        <v>825</v>
      </c>
      <c r="N9">
        <f t="shared" si="0"/>
        <v>0</v>
      </c>
      <c r="O9">
        <f t="shared" si="1"/>
        <v>0</v>
      </c>
      <c r="P9">
        <f t="shared" si="2"/>
        <v>0</v>
      </c>
    </row>
    <row r="10" spans="1:16" x14ac:dyDescent="0.35">
      <c r="B10" s="21"/>
      <c r="C10" s="15"/>
      <c r="D10" s="20"/>
      <c r="E10" s="20"/>
      <c r="F10" s="20"/>
      <c r="G10" s="19"/>
      <c r="H10" s="20"/>
      <c r="I10" s="20"/>
      <c r="J10" s="24"/>
      <c r="K10" s="7" t="s">
        <v>430</v>
      </c>
      <c r="L10" s="6" t="s">
        <v>133</v>
      </c>
      <c r="M10" t="s">
        <v>826</v>
      </c>
      <c r="N10">
        <f t="shared" si="0"/>
        <v>0</v>
      </c>
      <c r="O10">
        <f t="shared" si="1"/>
        <v>0</v>
      </c>
      <c r="P10">
        <f t="shared" si="2"/>
        <v>0</v>
      </c>
    </row>
    <row r="11" spans="1:16" x14ac:dyDescent="0.35">
      <c r="K11" s="7" t="s">
        <v>623</v>
      </c>
      <c r="L11" s="6" t="s">
        <v>133</v>
      </c>
      <c r="M11" t="s">
        <v>827</v>
      </c>
      <c r="N11">
        <f t="shared" si="0"/>
        <v>1</v>
      </c>
      <c r="O11">
        <f t="shared" si="1"/>
        <v>1</v>
      </c>
      <c r="P11">
        <f t="shared" si="2"/>
        <v>0</v>
      </c>
    </row>
    <row r="12" spans="1:16" x14ac:dyDescent="0.35">
      <c r="K12" s="7" t="s">
        <v>810</v>
      </c>
      <c r="L12" s="6" t="s">
        <v>133</v>
      </c>
      <c r="M12" t="s">
        <v>828</v>
      </c>
      <c r="N12">
        <f t="shared" si="0"/>
        <v>0</v>
      </c>
      <c r="O12">
        <f t="shared" si="1"/>
        <v>0</v>
      </c>
      <c r="P12">
        <f t="shared" si="2"/>
        <v>0</v>
      </c>
    </row>
    <row r="13" spans="1:16" x14ac:dyDescent="0.35">
      <c r="K13" s="7" t="s">
        <v>620</v>
      </c>
      <c r="L13" s="6" t="s">
        <v>133</v>
      </c>
      <c r="M13" t="s">
        <v>829</v>
      </c>
      <c r="N13">
        <f t="shared" si="0"/>
        <v>0</v>
      </c>
      <c r="O13">
        <f t="shared" si="1"/>
        <v>0</v>
      </c>
      <c r="P13">
        <f t="shared" si="2"/>
        <v>0</v>
      </c>
    </row>
    <row r="14" spans="1:16" x14ac:dyDescent="0.35">
      <c r="K14" s="41" t="s">
        <v>493</v>
      </c>
      <c r="L14" s="6" t="s">
        <v>194</v>
      </c>
      <c r="M14" t="s">
        <v>830</v>
      </c>
      <c r="N14">
        <f t="shared" si="0"/>
        <v>0</v>
      </c>
      <c r="O14">
        <f t="shared" si="1"/>
        <v>0</v>
      </c>
      <c r="P14">
        <f t="shared" si="2"/>
        <v>0</v>
      </c>
    </row>
    <row r="15" spans="1:16" x14ac:dyDescent="0.35">
      <c r="K15" s="7" t="s">
        <v>811</v>
      </c>
      <c r="L15" s="6" t="s">
        <v>194</v>
      </c>
      <c r="M15" t="s">
        <v>823</v>
      </c>
      <c r="N15">
        <f t="shared" si="0"/>
        <v>0</v>
      </c>
      <c r="O15">
        <f t="shared" si="1"/>
        <v>0</v>
      </c>
      <c r="P15">
        <f t="shared" si="2"/>
        <v>0</v>
      </c>
    </row>
    <row r="16" spans="1:16" x14ac:dyDescent="0.35">
      <c r="K16" s="3" t="s">
        <v>798</v>
      </c>
      <c r="L16" s="6" t="s">
        <v>596</v>
      </c>
      <c r="M16" t="s">
        <v>825</v>
      </c>
      <c r="N16">
        <f t="shared" si="0"/>
        <v>0</v>
      </c>
      <c r="O16">
        <f t="shared" si="1"/>
        <v>0</v>
      </c>
      <c r="P16">
        <f t="shared" si="2"/>
        <v>0</v>
      </c>
    </row>
    <row r="17" spans="11:16" x14ac:dyDescent="0.35">
      <c r="K17" s="7" t="s">
        <v>446</v>
      </c>
      <c r="L17" s="6" t="s">
        <v>795</v>
      </c>
      <c r="M17" t="s">
        <v>818</v>
      </c>
      <c r="N17">
        <f t="shared" si="0"/>
        <v>0</v>
      </c>
      <c r="O17">
        <f t="shared" si="1"/>
        <v>0</v>
      </c>
      <c r="P17">
        <f t="shared" si="2"/>
        <v>0</v>
      </c>
    </row>
    <row r="18" spans="11:16" x14ac:dyDescent="0.35">
      <c r="K18" s="7" t="s">
        <v>800</v>
      </c>
      <c r="L18" s="6" t="s">
        <v>799</v>
      </c>
      <c r="M18" t="s">
        <v>831</v>
      </c>
      <c r="N18">
        <f t="shared" si="0"/>
        <v>0</v>
      </c>
      <c r="O18">
        <f t="shared" si="1"/>
        <v>0</v>
      </c>
      <c r="P18">
        <f t="shared" si="2"/>
        <v>0</v>
      </c>
    </row>
    <row r="19" spans="11:16" x14ac:dyDescent="0.35">
      <c r="K19" s="7" t="s">
        <v>812</v>
      </c>
      <c r="L19" s="6" t="s">
        <v>799</v>
      </c>
      <c r="M19" t="s">
        <v>832</v>
      </c>
      <c r="N19">
        <f t="shared" si="0"/>
        <v>0</v>
      </c>
      <c r="O19">
        <f t="shared" si="1"/>
        <v>0</v>
      </c>
      <c r="P19">
        <f t="shared" si="2"/>
        <v>0</v>
      </c>
    </row>
    <row r="20" spans="11:16" x14ac:dyDescent="0.35">
      <c r="K20" s="37" t="s">
        <v>813</v>
      </c>
      <c r="L20" s="6" t="s">
        <v>799</v>
      </c>
      <c r="M20" t="s">
        <v>833</v>
      </c>
      <c r="N20">
        <f t="shared" si="0"/>
        <v>0</v>
      </c>
      <c r="O20">
        <f t="shared" si="1"/>
        <v>0</v>
      </c>
      <c r="P20">
        <f t="shared" si="2"/>
        <v>0</v>
      </c>
    </row>
    <row r="21" spans="11:16" x14ac:dyDescent="0.35">
      <c r="K21" t="s">
        <v>815</v>
      </c>
      <c r="L21" t="s">
        <v>814</v>
      </c>
      <c r="M21" t="s">
        <v>834</v>
      </c>
      <c r="N21">
        <f t="shared" si="0"/>
        <v>0</v>
      </c>
      <c r="O21">
        <f t="shared" si="1"/>
        <v>0</v>
      </c>
      <c r="P21">
        <f t="shared" si="2"/>
        <v>0</v>
      </c>
    </row>
    <row r="22" spans="11:16" x14ac:dyDescent="0.35">
      <c r="K22" t="s">
        <v>446</v>
      </c>
      <c r="L22" t="s">
        <v>131</v>
      </c>
      <c r="M22" t="s">
        <v>818</v>
      </c>
      <c r="N22">
        <f t="shared" si="0"/>
        <v>0</v>
      </c>
      <c r="O22">
        <f t="shared" si="1"/>
        <v>0</v>
      </c>
      <c r="P22">
        <f t="shared" si="2"/>
        <v>0</v>
      </c>
    </row>
    <row r="23" spans="11:16" x14ac:dyDescent="0.35">
      <c r="K23" t="s">
        <v>423</v>
      </c>
      <c r="L23" t="s">
        <v>131</v>
      </c>
      <c r="M23" t="s">
        <v>835</v>
      </c>
      <c r="N23">
        <f t="shared" si="0"/>
        <v>0</v>
      </c>
      <c r="O23">
        <f t="shared" si="1"/>
        <v>0</v>
      </c>
      <c r="P23">
        <f t="shared" si="2"/>
        <v>0</v>
      </c>
    </row>
    <row r="24" spans="11:16" x14ac:dyDescent="0.35">
      <c r="K24" t="s">
        <v>446</v>
      </c>
      <c r="L24" t="s">
        <v>801</v>
      </c>
      <c r="M24" t="s">
        <v>818</v>
      </c>
      <c r="N24">
        <f t="shared" si="0"/>
        <v>0</v>
      </c>
      <c r="O24">
        <f t="shared" si="1"/>
        <v>0</v>
      </c>
      <c r="P24">
        <f t="shared" si="2"/>
        <v>0</v>
      </c>
    </row>
    <row r="25" spans="11:16" x14ac:dyDescent="0.35">
      <c r="K25" t="s">
        <v>446</v>
      </c>
      <c r="L25" t="s">
        <v>802</v>
      </c>
      <c r="M25" t="s">
        <v>818</v>
      </c>
      <c r="N25">
        <f t="shared" si="0"/>
        <v>0</v>
      </c>
      <c r="O25">
        <f t="shared" si="1"/>
        <v>0</v>
      </c>
      <c r="P25">
        <f t="shared" si="2"/>
        <v>0</v>
      </c>
    </row>
    <row r="26" spans="11:16" x14ac:dyDescent="0.35">
      <c r="K26" s="148" t="s">
        <v>839</v>
      </c>
      <c r="L26" s="6" t="s">
        <v>795</v>
      </c>
      <c r="M26" s="147" t="s">
        <v>840</v>
      </c>
    </row>
  </sheetData>
  <dataValidations count="2">
    <dataValidation type="list" allowBlank="1" showInputMessage="1" showErrorMessage="1" sqref="K8" xr:uid="{8281ACDE-E294-48D2-AC83-ABE1A8CE10AE}">
      <formula1>$M$2:$M$100</formula1>
    </dataValidation>
    <dataValidation type="list" allowBlank="1" showInputMessage="1" showErrorMessage="1" sqref="K4 C3 C5" xr:uid="{2D4E45DC-77D6-4CAE-BD0C-9A62C5AB01A1}">
      <formula1>$M$2:$M$19</formula1>
    </dataValidation>
  </dataValidations>
  <hyperlinks>
    <hyperlink ref="M26" r:id="rId1" tooltip="PROMOTOR GALAGRO NAL FLORES" display="https://my360424.crm.ondemand.com/sap/ap/ui/clogin?saml2=disabled&amp;app.component=%2fSAP_UI_CT%2fMain%2froot.uiccwoc&amp;rootWindow=X&amp;redirectUrl=%2fsap%2fpublic%2fbyd%2fruntime&amp;sap-ui-language=es_es" xr:uid="{757035ED-9EC2-4ECE-8FA1-E8CD500CFDE2}"/>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10" activePane="bottomLeft" state="frozen"/>
      <selection pane="bottomLeft" activeCell="J14" sqref="J14"/>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317"/>
      <c r="B1" s="318"/>
      <c r="C1" s="87" t="s">
        <v>756</v>
      </c>
      <c r="D1" s="88"/>
      <c r="E1" s="88"/>
      <c r="F1" s="88"/>
      <c r="G1" s="88"/>
      <c r="H1" s="220" t="s">
        <v>709</v>
      </c>
      <c r="I1" s="220"/>
      <c r="J1" s="220" t="s">
        <v>771</v>
      </c>
      <c r="K1" s="221"/>
    </row>
    <row r="2" spans="1:15" ht="15" customHeight="1" x14ac:dyDescent="0.4">
      <c r="A2" s="319"/>
      <c r="B2" s="320"/>
      <c r="C2" s="194" t="s">
        <v>753</v>
      </c>
      <c r="D2" s="195"/>
      <c r="E2" s="195"/>
      <c r="F2" s="195"/>
      <c r="G2" s="195"/>
      <c r="H2" s="195" t="s">
        <v>5</v>
      </c>
      <c r="I2" s="195"/>
      <c r="J2" s="222" t="e">
        <f>VLOOKUP(J1,'Tabla dinam gestion comercial'!O:Q,3,0)</f>
        <v>#N/A</v>
      </c>
      <c r="K2" s="223"/>
    </row>
    <row r="3" spans="1:15" ht="15" customHeight="1" x14ac:dyDescent="0.4">
      <c r="A3" s="319"/>
      <c r="B3" s="320"/>
      <c r="C3" s="194" t="s">
        <v>2</v>
      </c>
      <c r="D3" s="195"/>
      <c r="E3" s="195"/>
      <c r="F3" s="195"/>
      <c r="G3" s="195"/>
      <c r="H3" s="195" t="s">
        <v>4</v>
      </c>
      <c r="I3" s="195"/>
      <c r="J3" s="195" t="e">
        <f>VLOOKUP(J1,'Tabla dinam gestion comercial'!O:P,2,0)</f>
        <v>#N/A</v>
      </c>
      <c r="K3" s="323"/>
    </row>
    <row r="4" spans="1:15" ht="15" customHeight="1" thickBot="1" x14ac:dyDescent="0.45">
      <c r="A4" s="319"/>
      <c r="B4" s="320"/>
      <c r="C4" s="196" t="s">
        <v>744</v>
      </c>
      <c r="D4" s="197"/>
      <c r="E4" s="197"/>
      <c r="F4" s="197"/>
      <c r="G4" s="197"/>
      <c r="H4" s="219" t="s">
        <v>49</v>
      </c>
      <c r="I4" s="219"/>
      <c r="J4" s="219" t="e">
        <f>VLOOKUP(J1,'Tabla dinam gestion comercial'!O:R,4,0)</f>
        <v>#N/A</v>
      </c>
      <c r="K4" s="226"/>
    </row>
    <row r="5" spans="1:15" ht="15" hidden="1" customHeight="1" thickBot="1" x14ac:dyDescent="0.45">
      <c r="A5" s="321"/>
      <c r="B5" s="322"/>
      <c r="C5" s="114"/>
      <c r="D5" s="114"/>
      <c r="E5" s="114"/>
      <c r="F5" s="114"/>
      <c r="G5" s="114"/>
      <c r="H5" s="114"/>
      <c r="I5" s="114"/>
      <c r="J5" s="114"/>
      <c r="K5" s="115"/>
    </row>
    <row r="6" spans="1:15" ht="22.5" customHeight="1" thickBot="1" x14ac:dyDescent="0.4">
      <c r="A6" s="181" t="s">
        <v>755</v>
      </c>
      <c r="B6" s="182"/>
      <c r="C6" s="182"/>
      <c r="D6" s="183"/>
      <c r="E6" s="184"/>
      <c r="F6" s="185"/>
      <c r="G6" s="185"/>
      <c r="H6" s="185"/>
      <c r="I6" s="185"/>
      <c r="J6" s="185"/>
      <c r="K6" s="53"/>
      <c r="L6" s="13"/>
    </row>
    <row r="7" spans="1:15" ht="14.5" customHeight="1" x14ac:dyDescent="0.35">
      <c r="A7" s="260">
        <f>SUMPRODUCT($D$14:$D$24, $F$14:$F$24)</f>
        <v>5.0078471248246853E-2</v>
      </c>
      <c r="B7" s="261"/>
      <c r="C7" s="261"/>
      <c r="D7" s="262"/>
      <c r="E7" s="186"/>
      <c r="F7" s="186"/>
      <c r="G7" s="186"/>
      <c r="H7" s="186"/>
      <c r="I7" s="186"/>
      <c r="J7" s="186"/>
      <c r="K7" s="8"/>
    </row>
    <row r="8" spans="1:15" ht="20" customHeight="1" x14ac:dyDescent="0.35">
      <c r="A8" s="263"/>
      <c r="B8" s="264"/>
      <c r="C8" s="264"/>
      <c r="D8" s="265"/>
      <c r="E8" s="186"/>
      <c r="F8" s="186"/>
      <c r="G8" s="186"/>
      <c r="H8" s="186"/>
      <c r="I8" s="186"/>
      <c r="J8" s="186"/>
      <c r="K8" s="8"/>
      <c r="M8" s="66" t="s">
        <v>60</v>
      </c>
      <c r="N8" s="66">
        <f>A7*100</f>
        <v>5.0078471248246856</v>
      </c>
      <c r="O8" s="67" t="str">
        <f>ROUND(N8,0)&amp;"%"</f>
        <v>5%</v>
      </c>
    </row>
    <row r="9" spans="1:15" ht="12.5" customHeight="1" x14ac:dyDescent="0.35">
      <c r="A9" s="263"/>
      <c r="B9" s="264"/>
      <c r="C9" s="264"/>
      <c r="D9" s="265"/>
      <c r="E9" s="186"/>
      <c r="F9" s="186"/>
      <c r="G9" s="186"/>
      <c r="H9" s="186"/>
      <c r="I9" s="186"/>
      <c r="J9" s="186"/>
      <c r="K9" s="8"/>
      <c r="M9" s="66" t="s">
        <v>61</v>
      </c>
      <c r="N9" s="66">
        <f>100-N8</f>
        <v>94.992152875175321</v>
      </c>
      <c r="O9" s="66"/>
    </row>
    <row r="10" spans="1:15" ht="11.5" customHeight="1" x14ac:dyDescent="0.35">
      <c r="A10" s="263"/>
      <c r="B10" s="264"/>
      <c r="C10" s="264"/>
      <c r="D10" s="265"/>
      <c r="E10" s="186"/>
      <c r="F10" s="186"/>
      <c r="G10" s="186"/>
      <c r="H10" s="186"/>
      <c r="I10" s="186"/>
      <c r="J10" s="186"/>
      <c r="K10" s="8"/>
      <c r="M10" s="66" t="s">
        <v>62</v>
      </c>
      <c r="N10" s="66">
        <v>100</v>
      </c>
      <c r="O10" s="66"/>
    </row>
    <row r="11" spans="1:15" ht="24.5" customHeight="1" thickBot="1" x14ac:dyDescent="0.4">
      <c r="A11" s="198" t="str">
        <f>IF(A7&gt;=90%,"Excelente",IF(A7&gt;=75%,"Destacado",IF(A7&gt;=59%,"En desarrollo","Crítico")))</f>
        <v>Crítico</v>
      </c>
      <c r="B11" s="199"/>
      <c r="C11" s="199"/>
      <c r="D11" s="200"/>
      <c r="E11" s="187"/>
      <c r="F11" s="187"/>
      <c r="G11" s="187"/>
      <c r="H11" s="187"/>
      <c r="I11" s="187"/>
      <c r="J11" s="187"/>
      <c r="K11" s="68"/>
    </row>
    <row r="12" spans="1:15" ht="16.5" customHeight="1" thickBot="1" x14ac:dyDescent="0.4">
      <c r="A12" s="210" t="s">
        <v>757</v>
      </c>
      <c r="B12" s="211"/>
      <c r="C12" s="211"/>
      <c r="D12" s="211"/>
      <c r="E12" s="211"/>
      <c r="F12" s="211"/>
      <c r="G12" s="211"/>
      <c r="H12" s="211"/>
      <c r="I12" s="211"/>
      <c r="J12" s="211"/>
      <c r="K12" s="212"/>
    </row>
    <row r="13" spans="1:15" ht="29.5" customHeight="1" thickBot="1" x14ac:dyDescent="0.4">
      <c r="A13" s="227" t="s">
        <v>10</v>
      </c>
      <c r="B13" s="228"/>
      <c r="C13" s="228"/>
      <c r="D13" s="89" t="s">
        <v>743</v>
      </c>
      <c r="E13" s="90" t="s">
        <v>14</v>
      </c>
      <c r="F13" s="90" t="s">
        <v>88</v>
      </c>
      <c r="G13" s="89" t="s">
        <v>713</v>
      </c>
      <c r="H13" s="89" t="s">
        <v>714</v>
      </c>
      <c r="I13" s="89" t="s">
        <v>715</v>
      </c>
      <c r="J13" s="89" t="s">
        <v>745</v>
      </c>
      <c r="K13" s="91" t="s">
        <v>718</v>
      </c>
    </row>
    <row r="14" spans="1:15" ht="90" customHeight="1" thickBot="1" x14ac:dyDescent="0.4">
      <c r="A14" s="92" t="e" vm="2">
        <v>#VALUE!</v>
      </c>
      <c r="B14" s="93" t="s">
        <v>51</v>
      </c>
      <c r="C14" s="94" t="str">
        <f>IF(D14&gt;=90%,"⬤",IF(D14&gt;=75%,"⬤",IF(D14&gt;=60%,"⬤","⬤")))</f>
        <v>⬤</v>
      </c>
      <c r="D14" s="95">
        <f>IFERROR(MIN(100%,SUM(G14:I14)/($J14*3)),0)</f>
        <v>0</v>
      </c>
      <c r="E14" s="96">
        <v>0.9</v>
      </c>
      <c r="F14" s="96">
        <v>0.1</v>
      </c>
      <c r="G14" s="97">
        <f>SUMIFS(
'Tabla dinam gestion comercial'!$F:$F,
'Tabla dinam gestion comercial'!$B:$B,$J$1,
'Tabla dinam gestion comercial'!$L:$L,"Enero"
)</f>
        <v>0</v>
      </c>
      <c r="H14" s="97">
        <f>SUMIFS(
'Tabla dinam gestion comercial'!$F:$F,
'Tabla dinam gestion comercial'!$B:$B,$J$1,
'Tabla dinam gestion comercial'!$L:$L,"Febrero"
)</f>
        <v>0</v>
      </c>
      <c r="I14" s="97">
        <f>SUMIFS(
'Tabla dinam gestion comercial'!$F:$F,
'Tabla dinam gestion comercial'!$B:$B,$J$1,
'Tabla dinam gestion comercial'!$L:$L,"Marzo"
)</f>
        <v>0</v>
      </c>
      <c r="J14" s="98" cm="1">
        <f t="array" ref="J14">IFERROR((SUM(_xlfn.UNIQUE(_xlfn._xlws.FILTER('Tabla dinam gestion comercial'!$M:$M,('Tabla dinam gestion comercial'!$B:$B=$J$1)*('Tabla dinam gestion comercial'!$L:$L="Enero"))))+SUM(_xlfn.UNIQUE(_xlfn._xlws.FILTER('Tabla dinam gestion comercial'!$M:$M,('Tabla dinam gestion comercial'!$B:$B=$J$1)*('Tabla dinam gestion comercial'!$L:$L="Febrero"))))+SUM(_xlfn.UNIQUE(_xlfn._xlws.FILTER('Tabla dinam gestion comercial'!$M:$M,('Tabla dinam gestion comercial'!$B:$B=$J$1)*('Tabla dinam gestion comercial'!$L:$L="Marzo")))))/3,0)</f>
        <v>0</v>
      </c>
      <c r="K14" s="64" t="s">
        <v>767</v>
      </c>
      <c r="M14" s="111"/>
      <c r="N14" s="24"/>
      <c r="O14" s="24"/>
    </row>
    <row r="15" spans="1:15" ht="39.5" thickBot="1" x14ac:dyDescent="0.4">
      <c r="A15" s="92" t="e" vm="3">
        <v>#VALUE!</v>
      </c>
      <c r="B15" s="93" t="s">
        <v>29</v>
      </c>
      <c r="C15" s="94" t="str">
        <f t="shared" ref="C15:C25" si="0">IF(D15&gt;=90%,"⬤",IF(D15&gt;=75%,"⬤",IF(D15&gt;=60%,"⬤","⬤")))</f>
        <v>⬤</v>
      </c>
      <c r="D15" s="95">
        <f>IFERROR(MIN(100%,SUM(G15:I15)/($J15*3)),0)</f>
        <v>0</v>
      </c>
      <c r="E15" s="96">
        <v>0.9</v>
      </c>
      <c r="F15" s="96">
        <v>0.1</v>
      </c>
      <c r="G15" s="97">
        <f>SUMIFS('Tabla dinam gestion comercial'!$D:$D,'Tabla dinam gestion comercial'!$B:$B,$J$1,'Tabla dinam gestion comercial'!$L:$L,"Enero")</f>
        <v>0</v>
      </c>
      <c r="H15" s="97">
        <f>SUMIFS('Tabla dinam gestion comercial'!$D:$D,'Tabla dinam gestion comercial'!$B:$B,$J$1,'Tabla dinam gestion comercial'!$L:$L,"Febrero")</f>
        <v>0</v>
      </c>
      <c r="I15" s="97">
        <f>SUMIFS('Tabla dinam gestion comercial'!$D:$D,'Tabla dinam gestion comercial'!$B:$B,$J$1,'Tabla dinam gestion comercial'!$L:$L,"Marzo")</f>
        <v>0</v>
      </c>
      <c r="J15" s="83">
        <f>IFERROR(SUMIFS('Tabla dinam gestion comercial'!$C$2:$C$62,'Tabla dinam gestion comercial'!$B$2:$B$62,$J$1)/3,0)/12</f>
        <v>0</v>
      </c>
      <c r="K15" s="64" t="s">
        <v>770</v>
      </c>
    </row>
    <row r="16" spans="1:15" ht="96.5" customHeight="1" thickBot="1" x14ac:dyDescent="0.4">
      <c r="A16" s="92" t="e" vm="4">
        <v>#VALUE!</v>
      </c>
      <c r="B16" s="93" t="s">
        <v>11</v>
      </c>
      <c r="C16" s="94" t="str">
        <f t="shared" si="0"/>
        <v>⬤</v>
      </c>
      <c r="D16" s="95">
        <f t="shared" ref="D16" si="1">IFERROR(AVERAGE(G16/J16,H16/J16,I16/J16),0)</f>
        <v>0</v>
      </c>
      <c r="E16" s="96">
        <v>0.9</v>
      </c>
      <c r="F16" s="96">
        <v>0.1</v>
      </c>
      <c r="G16" s="97">
        <f>SUMIFS('Tabla dinam gestion comercial'!$I:$I,'Tabla dinam gestion comercial'!$B:$B,$J$1,'Tabla dinam gestion comercial'!$L:$L,"*Enero*")</f>
        <v>0</v>
      </c>
      <c r="H16" s="97">
        <f>SUMIFS('Tabla dinam gestion comercial'!$I:$I,'Tabla dinam gestion comercial'!$B:$B,$J$1,'Tabla dinam gestion comercial'!$L:$L,"*Febrero*")</f>
        <v>0</v>
      </c>
      <c r="I16" s="97">
        <f>SUMIFS('Tabla dinam gestion comercial'!$I:$I,'Tabla dinam gestion comercial'!$B:$B,$J$1,'Tabla dinam gestion comercial'!$L:$L,"*Marzo*")</f>
        <v>0</v>
      </c>
      <c r="J16" s="98">
        <f>ROUNDUP(SUMIFS('Tabla dinam gestion comercial'!$H:$H,'Tabla dinam gestion comercial'!$B:$B,$J$1)/12,0)</f>
        <v>0</v>
      </c>
      <c r="K16" s="64" t="s">
        <v>768</v>
      </c>
      <c r="M16" s="24"/>
      <c r="N16" s="24"/>
      <c r="O16" s="24"/>
    </row>
    <row r="17" spans="1:13" ht="33.5" customHeight="1" thickBot="1" x14ac:dyDescent="0.4">
      <c r="A17" s="167" t="s">
        <v>10</v>
      </c>
      <c r="B17" s="168"/>
      <c r="C17" s="169"/>
      <c r="D17" s="90" t="s">
        <v>742</v>
      </c>
      <c r="E17" s="90" t="s">
        <v>14</v>
      </c>
      <c r="F17" s="90" t="s">
        <v>88</v>
      </c>
      <c r="G17" s="89" t="s">
        <v>713</v>
      </c>
      <c r="H17" s="89" t="s">
        <v>714</v>
      </c>
      <c r="I17" s="89" t="s">
        <v>715</v>
      </c>
      <c r="J17" s="91" t="s">
        <v>716</v>
      </c>
      <c r="K17" s="99" t="s">
        <v>718</v>
      </c>
    </row>
    <row r="18" spans="1:13" ht="104.5" thickBot="1" x14ac:dyDescent="0.4">
      <c r="A18" s="92" t="e" vm="5">
        <v>#VALUE!</v>
      </c>
      <c r="B18" s="116" t="s">
        <v>23</v>
      </c>
      <c r="C18" s="94" t="str">
        <f t="shared" si="0"/>
        <v>⬤</v>
      </c>
      <c r="D18" s="95">
        <f>IFERROR(MIN(150%,SUM(G18:I18)/J18),0)</f>
        <v>0.25039235624123424</v>
      </c>
      <c r="E18" s="96">
        <v>0.9</v>
      </c>
      <c r="F18" s="96">
        <v>0.2</v>
      </c>
      <c r="G18" s="117">
        <f>IFERROR(SUMIFS(Tecnico!$D:$D,Tecnico!$K:$K,"Enero"),0)</f>
        <v>201390250</v>
      </c>
      <c r="H18" s="117">
        <f>IFERROR(SUMIFS(Tecnico!$D:$D,Tecnico!$K:$K,"Febrero"),0)</f>
        <v>351569250</v>
      </c>
      <c r="I18" s="117">
        <f>IFERROR(SUMIFS(Tecnico!$D:$D,Tecnico!$K:$K,"Marzo"),0)</f>
        <v>161159500</v>
      </c>
      <c r="J18" s="119">
        <f>IFERROR(SUM(Tecnico!$C:$C),0)</f>
        <v>2852000000</v>
      </c>
      <c r="K18" s="60" t="s">
        <v>765</v>
      </c>
    </row>
    <row r="19" spans="1:13" ht="130.5" thickBot="1" x14ac:dyDescent="0.4">
      <c r="A19" s="92" t="e" vm="6">
        <v>#VALUE!</v>
      </c>
      <c r="B19" s="93" t="s">
        <v>13</v>
      </c>
      <c r="C19" s="94" t="str">
        <f t="shared" si="0"/>
        <v>⬤</v>
      </c>
      <c r="D19" s="95" t="str">
        <f>IFERROR(((G19+H19+I19)/J19),"0")</f>
        <v>0</v>
      </c>
      <c r="E19" s="96">
        <v>0.9</v>
      </c>
      <c r="F19" s="96">
        <v>0.1</v>
      </c>
      <c r="G19" s="97">
        <f>SUMIFS(Tecnico!$J:$J,Tecnico!$A:$A,$J$3,Tecnico!$K:$K,"Enero")</f>
        <v>0</v>
      </c>
      <c r="H19" s="97">
        <f>SUMIFS(Tecnico!$J:$J,Tecnico!$A:$A,$J$3,Tecnico!$K:$K,"Febrero")</f>
        <v>0</v>
      </c>
      <c r="I19" s="97">
        <f>SUMIFS(Tecnico!$J:$J,Tecnico!$A:$A,$J$3,Tecnico!$K:$K,"Marzo")</f>
        <v>0</v>
      </c>
      <c r="J19" s="100">
        <f>SUMIFS(Tecnico!$H:$H,Tecnico!$A:$A,$J$3)/3</f>
        <v>0</v>
      </c>
      <c r="K19" s="120" t="s">
        <v>769</v>
      </c>
    </row>
    <row r="20" spans="1:13" ht="120.5" customHeight="1" thickBot="1" x14ac:dyDescent="0.4">
      <c r="A20" s="92" t="e" vm="7">
        <v>#VALUE!</v>
      </c>
      <c r="B20" s="93" t="s">
        <v>82</v>
      </c>
      <c r="C20" s="94" t="str">
        <f t="shared" si="0"/>
        <v>⬤</v>
      </c>
      <c r="D20" s="96">
        <f>IFERROR(SUM(G20:I20)/J20,0%)</f>
        <v>0</v>
      </c>
      <c r="E20" s="96">
        <v>0.9</v>
      </c>
      <c r="F20" s="96">
        <v>0.1</v>
      </c>
      <c r="G20" s="97">
        <f>IFERROR(SUMIFS(Leads!$D:$D,Leads!$C:$C,$J$1,Leads!$I:$I,"Enero"),0)</f>
        <v>0</v>
      </c>
      <c r="H20" s="97">
        <f>IFERROR(SUMIFS(Leads!$D:$D,Leads!$C:$C,$J$1,Leads!$I:$I,"Febrero"),0)</f>
        <v>0</v>
      </c>
      <c r="I20" s="97">
        <f>IFERROR(SUMIFS(Leads!$D:$D,Leads!$C:$C,$J$1,Leads!$I:$I,"Marzo"),0)</f>
        <v>0</v>
      </c>
      <c r="J20" s="100">
        <f>MAX(1,IFERROR(SUMIFS(Leads!$D:$D,Leads!$C:$C,$J$1,Leads!$I:$I,"Enero"),0))+MAX(1,IFERROR(SUMIFS(Leads!$D:$D,Leads!$C:$C,$J$1,Leads!$I:$I,"Febrero"),0))+MAX(1,IFERROR(SUMIFS(Leads!$D:$D,Leads!$C:$C,$J$1,Leads!$I:$I,"Marzo"),0))</f>
        <v>3</v>
      </c>
      <c r="K20" s="61" t="s">
        <v>766</v>
      </c>
    </row>
    <row r="21" spans="1:13" ht="117.5" thickBot="1" x14ac:dyDescent="0.4">
      <c r="A21" s="92" t="e" vm="8">
        <v>#VALUE!</v>
      </c>
      <c r="B21" s="93" t="s">
        <v>746</v>
      </c>
      <c r="C21" s="94" t="str">
        <f t="shared" si="0"/>
        <v>⬤</v>
      </c>
      <c r="D21" s="96">
        <f>IFERROR(SUM(G21:I21)/J21,0%)</f>
        <v>0</v>
      </c>
      <c r="E21" s="96">
        <v>0.9</v>
      </c>
      <c r="F21" s="96">
        <v>0.1</v>
      </c>
      <c r="G21" s="97">
        <f>IFERROR(SUMIFS(Leads!$E:$E,Leads!$C:$C,$J$1,Leads!$I:$I,"Enero"),0)</f>
        <v>0</v>
      </c>
      <c r="H21" s="97">
        <f>IFERROR(SUMIFS(Leads!$E:$E,Leads!$C:$C,$J$1,Leads!$I:$I,"Febrero"),0)</f>
        <v>0</v>
      </c>
      <c r="I21" s="97">
        <f>IFERROR(SUMIFS(Leads!$E:$E,Leads!$C:$C,$J$1,Leads!$I:$I,"Marzo"),0)</f>
        <v>0</v>
      </c>
      <c r="J21" s="98">
        <f>MAX(1,IFERROR(SUMIFS(Leads!$D:$D,Leads!$C:$C,$J$1,Leads!$I:$I,"Enero"),0))+MAX(1,IFERROR(SUMIFS(Leads!$D:$D,Leads!$C:$C,$J$1,Leads!$I:$I,"Febrero"),0))+MAX(1,IFERROR(SUMIFS(Leads!$D:$D,Leads!$C:$C,$J$1,Leads!$I:$I,"Marzo"),0))</f>
        <v>3</v>
      </c>
      <c r="K21" s="62" t="s">
        <v>751</v>
      </c>
    </row>
    <row r="22" spans="1:13" ht="91.5" thickBot="1" x14ac:dyDescent="0.4">
      <c r="A22" s="92" t="e" vm="9">
        <v>#VALUE!</v>
      </c>
      <c r="B22" s="93" t="s">
        <v>717</v>
      </c>
      <c r="C22" s="94" t="str">
        <f t="shared" si="0"/>
        <v>⬤</v>
      </c>
      <c r="D22" s="96">
        <f>MIN(IFERROR(SUM(G22:I22)/J22,0%),150%)</f>
        <v>0</v>
      </c>
      <c r="E22" s="96">
        <v>0.9</v>
      </c>
      <c r="F22" s="96">
        <v>0.1</v>
      </c>
      <c r="G22" s="97">
        <f>COUNTIFS('Act Campo'!$AF$2:$AF$997,"Enero",'Act Campo'!$Q$2:$Q$997,"&lt;&gt;")</f>
        <v>14</v>
      </c>
      <c r="H22" s="97">
        <f>COUNTIFS('Act Campo'!$AF$2:$AF$997,"Febrero",'Act Campo'!$Q$2:$Q$997,"&lt;&gt;")</f>
        <v>53</v>
      </c>
      <c r="I22" s="97">
        <f>COUNTIFS('Act Campo'!$AF$2:$AF$997,"Marzo",'Act Campo'!$Q$2:$Q$997,"&lt;&gt;")</f>
        <v>52</v>
      </c>
      <c r="J22" s="100">
        <f>IFERROR(VLOOKUP(J1,'Tabla dinam gestion comercial'!$O:$U,7,0),0)</f>
        <v>0</v>
      </c>
      <c r="K22" s="63" t="s">
        <v>750</v>
      </c>
    </row>
    <row r="23" spans="1:13" ht="120" customHeight="1" thickBot="1" x14ac:dyDescent="0.4">
      <c r="A23" s="92" t="e" vm="9">
        <v>#VALUE!</v>
      </c>
      <c r="B23" s="93" t="s">
        <v>747</v>
      </c>
      <c r="C23" s="94" t="str">
        <f t="shared" si="0"/>
        <v>⬤</v>
      </c>
      <c r="D23" s="96">
        <f>MIN(IFERROR(SUM(G23:I23)/J23,0%),150%)</f>
        <v>0</v>
      </c>
      <c r="E23" s="96">
        <v>0.9</v>
      </c>
      <c r="F23" s="96">
        <v>0.05</v>
      </c>
      <c r="G23" s="97">
        <f>IFERROR(SUMIFS(Fincas!$F:$F,Fincas!$G:$G,"Enero"),0)</f>
        <v>41</v>
      </c>
      <c r="H23" s="97">
        <f>IFERROR(SUMIFS(Fincas!$F:$F,Fincas!$G:$G,"Febrero"),0)</f>
        <v>100</v>
      </c>
      <c r="I23" s="97">
        <f>IFERROR(SUMIFS(Fincas!$F:$F,Fincas!$G:$G,"Marzo"),0)</f>
        <v>87</v>
      </c>
      <c r="J23" s="100">
        <f>ROUNDUP(_xlfn.MAXIFS('Tabla dinam gestion comercial'!$V:$V,'Tabla dinam gestion comercial'!$O:$O,$J$1)*3,0)</f>
        <v>0</v>
      </c>
      <c r="K23" s="61" t="s">
        <v>727</v>
      </c>
    </row>
    <row r="24" spans="1:13" ht="106" customHeight="1" thickBot="1" x14ac:dyDescent="0.4">
      <c r="A24" s="92" t="e" vm="9">
        <v>#VALUE!</v>
      </c>
      <c r="B24" s="93" t="s">
        <v>25</v>
      </c>
      <c r="C24" s="94" t="str">
        <f t="shared" si="0"/>
        <v>⬤</v>
      </c>
      <c r="D24" s="96">
        <f>MIN(IFERROR(SUM(G24:I24)/J24,0%),150%)</f>
        <v>0</v>
      </c>
      <c r="E24" s="96">
        <v>0.9</v>
      </c>
      <c r="F24" s="96">
        <v>0.05</v>
      </c>
      <c r="G24" s="97">
        <f>COUNTIFS(Fincas!$D:$D,"&lt;&gt;",Fincas!$G:$G,"Enero")</f>
        <v>11</v>
      </c>
      <c r="H24" s="97">
        <f>COUNTIFS(Fincas!$D:$D,"&lt;&gt;",Fincas!$G:$G,"Febrero")</f>
        <v>25</v>
      </c>
      <c r="I24" s="97">
        <f>COUNTIFS(Fincas!$D:$D,"&lt;&gt;",Fincas!$G:$G,"Marzo")</f>
        <v>15</v>
      </c>
      <c r="J24" s="100">
        <f>ROUNDUP(SUMIFS('Tabla dinam gestion comercial'!$W:$W,'Tabla dinam gestion comercial'!$O:$O,$J$1),0)</f>
        <v>0</v>
      </c>
      <c r="K24" s="61" t="s">
        <v>728</v>
      </c>
    </row>
    <row r="25" spans="1:13" ht="29.5" hidden="1" customHeight="1" thickBot="1" x14ac:dyDescent="0.45">
      <c r="A25" s="101" t="e" vm="9">
        <v>#VALUE!</v>
      </c>
      <c r="B25" s="102" t="s">
        <v>385</v>
      </c>
      <c r="C25" s="103" t="str">
        <f t="shared" si="0"/>
        <v>⬤</v>
      </c>
      <c r="D25" s="104">
        <f>(D23+D24)/2</f>
        <v>0</v>
      </c>
      <c r="E25" s="105">
        <v>0.9</v>
      </c>
      <c r="F25" s="105"/>
      <c r="G25" s="106"/>
      <c r="H25" s="106"/>
      <c r="I25" s="106"/>
      <c r="J25" s="107"/>
      <c r="K25" s="108"/>
    </row>
    <row r="26" spans="1:13" ht="14.5" customHeight="1" x14ac:dyDescent="0.35">
      <c r="A26" s="216" t="e" vm="10">
        <v>#VALUE!</v>
      </c>
      <c r="B26" s="164" t="s">
        <v>748</v>
      </c>
      <c r="C26" s="164"/>
      <c r="D26" s="164"/>
      <c r="E26" s="164"/>
      <c r="F26" s="164"/>
      <c r="G26" s="161" t="s">
        <v>22</v>
      </c>
      <c r="H26" s="162" t="s">
        <v>749</v>
      </c>
      <c r="I26" s="162"/>
      <c r="J26" s="161" t="s">
        <v>20</v>
      </c>
      <c r="K26" s="213" t="s">
        <v>19</v>
      </c>
    </row>
    <row r="27" spans="1:13" x14ac:dyDescent="0.35">
      <c r="A27" s="217"/>
      <c r="B27" s="165"/>
      <c r="C27" s="165"/>
      <c r="D27" s="165"/>
      <c r="E27" s="165"/>
      <c r="F27" s="165"/>
      <c r="G27" s="179"/>
      <c r="H27" s="162"/>
      <c r="I27" s="162"/>
      <c r="J27" s="179"/>
      <c r="K27" s="214"/>
    </row>
    <row r="28" spans="1:13" ht="21" customHeight="1" thickBot="1" x14ac:dyDescent="0.4">
      <c r="A28" s="218"/>
      <c r="B28" s="166"/>
      <c r="C28" s="166"/>
      <c r="D28" s="166"/>
      <c r="E28" s="166"/>
      <c r="F28" s="166"/>
      <c r="G28" s="180"/>
      <c r="H28" s="163"/>
      <c r="I28" s="163"/>
      <c r="J28" s="180"/>
      <c r="K28" s="215"/>
    </row>
    <row r="29" spans="1:13" ht="17.5" customHeight="1" thickBot="1" x14ac:dyDescent="0.4">
      <c r="A29" s="173" t="s">
        <v>9</v>
      </c>
      <c r="B29" s="174"/>
      <c r="C29" s="175"/>
      <c r="D29" s="173" t="s">
        <v>8</v>
      </c>
      <c r="E29" s="174"/>
      <c r="F29" s="174"/>
      <c r="G29" s="175"/>
      <c r="H29" s="173" t="s">
        <v>7</v>
      </c>
      <c r="I29" s="174"/>
      <c r="J29" s="175"/>
      <c r="K29" s="109" t="s">
        <v>729</v>
      </c>
      <c r="L29" s="70"/>
    </row>
    <row r="30" spans="1:13" ht="176.5" customHeight="1" thickBot="1" x14ac:dyDescent="0.4">
      <c r="A30" s="176"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177"/>
      <c r="C30" s="178"/>
      <c r="D30" s="170"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171"/>
      <c r="F30" s="171"/>
      <c r="G30" s="172"/>
      <c r="H30" s="176"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177"/>
      <c r="J30" s="178"/>
      <c r="K30" s="110"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69"/>
      <c r="M30" s="69"/>
    </row>
  </sheetData>
  <mergeCells count="31">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 ref="A12:K12"/>
    <mergeCell ref="A13:C13"/>
    <mergeCell ref="A17:C17"/>
    <mergeCell ref="A26:A28"/>
    <mergeCell ref="B26:F28"/>
    <mergeCell ref="G26:G28"/>
    <mergeCell ref="H26:I28"/>
    <mergeCell ref="J26:J28"/>
    <mergeCell ref="K26:K28"/>
    <mergeCell ref="A29:C29"/>
    <mergeCell ref="D29:G29"/>
    <mergeCell ref="H29:J29"/>
    <mergeCell ref="A30:C30"/>
    <mergeCell ref="D30:G30"/>
    <mergeCell ref="H30:J30"/>
  </mergeCells>
  <conditionalFormatting sqref="A11">
    <cfRule type="expression" dxfId="11" priority="5">
      <formula>A7&lt;59%</formula>
    </cfRule>
    <cfRule type="expression" dxfId="10" priority="6">
      <formula>AND(A7&gt;=59%,A7&lt;75%)</formula>
    </cfRule>
    <cfRule type="expression" dxfId="9" priority="7">
      <formula>AND(A7+$E$616&gt;=75%,A7&lt;90%)</formula>
    </cfRule>
    <cfRule type="expression" dxfId="8" priority="8">
      <formula>A7&gt;=90%</formula>
    </cfRule>
  </conditionalFormatting>
  <conditionalFormatting sqref="A7:D10">
    <cfRule type="expression" dxfId="7" priority="9">
      <formula>A7&gt;=90%</formula>
    </cfRule>
    <cfRule type="expression" dxfId="6" priority="10">
      <formula>AND(A7&gt;=75%,A7&lt;90%)</formula>
    </cfRule>
    <cfRule type="expression" dxfId="5" priority="11">
      <formula>AND(A7&gt;=59%,A7&lt;75%)</formula>
    </cfRule>
    <cfRule type="expression" dxfId="4" priority="12">
      <formula>A7&lt;59%</formula>
    </cfRule>
  </conditionalFormatting>
  <conditionalFormatting sqref="C14:C16 C18:C25">
    <cfRule type="expression" dxfId="3" priority="1">
      <formula>$D14&lt;60%</formula>
    </cfRule>
    <cfRule type="expression" dxfId="2" priority="2">
      <formula>AND($D14&gt;=60%,$D14&lt;75%)</formula>
    </cfRule>
    <cfRule type="expression" dxfId="1" priority="3">
      <formula>AND($D14&gt;=75%,$D14&lt;90%)</formula>
    </cfRule>
    <cfRule type="expression" dxfId="0"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comercial'!$P$3</xm:f>
          </x14:formula1>
          <xm:sqref>J1:K1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K79"/>
  <sheetViews>
    <sheetView zoomScale="80" zoomScaleNormal="80" workbookViewId="0">
      <selection activeCell="I48" sqref="I48"/>
    </sheetView>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s>
  <sheetData>
    <row r="1" spans="1:11" ht="32.5" customHeight="1" x14ac:dyDescent="0.35">
      <c r="A1" s="34" t="s">
        <v>4</v>
      </c>
      <c r="B1" s="34" t="s">
        <v>71</v>
      </c>
      <c r="C1" s="34" t="s">
        <v>250</v>
      </c>
      <c r="D1" s="34" t="s">
        <v>72</v>
      </c>
      <c r="E1" s="34" t="s">
        <v>73</v>
      </c>
      <c r="F1" s="34" t="s">
        <v>74</v>
      </c>
      <c r="G1" s="34" t="s">
        <v>75</v>
      </c>
      <c r="H1" s="34" t="s">
        <v>76</v>
      </c>
      <c r="I1" s="34" t="s">
        <v>77</v>
      </c>
      <c r="J1" s="34" t="s">
        <v>251</v>
      </c>
      <c r="K1" s="34" t="s">
        <v>244</v>
      </c>
    </row>
    <row r="2" spans="1:11" hidden="1" x14ac:dyDescent="0.35">
      <c r="A2" s="21" t="s">
        <v>376</v>
      </c>
      <c r="B2" s="15" t="s">
        <v>779</v>
      </c>
      <c r="C2" s="16">
        <v>57000000</v>
      </c>
      <c r="D2" s="52">
        <v>44189550</v>
      </c>
      <c r="E2" s="18">
        <v>0.77525526315789473</v>
      </c>
      <c r="F2" s="19">
        <v>147754544</v>
      </c>
      <c r="G2" s="20">
        <v>0.29907405081227145</v>
      </c>
      <c r="H2" s="33">
        <v>48</v>
      </c>
      <c r="I2">
        <v>0.5625</v>
      </c>
      <c r="J2" s="33">
        <f>Tabla2[[#This Row],[Referencias Recomendadas]]*Tabla2[[#This Row],[Meta Referencias]]</f>
        <v>27</v>
      </c>
      <c r="K2" s="33" t="s">
        <v>245</v>
      </c>
    </row>
    <row r="3" spans="1:11" hidden="1" x14ac:dyDescent="0.35">
      <c r="A3" s="21" t="s">
        <v>376</v>
      </c>
      <c r="B3" s="15" t="s">
        <v>780</v>
      </c>
      <c r="C3" s="16">
        <v>3000000</v>
      </c>
      <c r="D3" s="52">
        <v>349000</v>
      </c>
      <c r="E3" s="18">
        <v>0.11633333333333333</v>
      </c>
      <c r="F3" s="19">
        <v>147754544</v>
      </c>
      <c r="G3" s="20">
        <v>2.3620254954730868E-3</v>
      </c>
      <c r="H3" s="33">
        <v>10</v>
      </c>
      <c r="I3">
        <v>0.4</v>
      </c>
      <c r="J3" s="33">
        <f>Tabla2[[#This Row],[Referencias Recomendadas]]*Tabla2[[#This Row],[Meta Referencias]]</f>
        <v>4</v>
      </c>
      <c r="K3" s="33" t="s">
        <v>245</v>
      </c>
    </row>
    <row r="4" spans="1:11" hidden="1" x14ac:dyDescent="0.35">
      <c r="A4" s="21" t="s">
        <v>144</v>
      </c>
      <c r="B4" s="15" t="s">
        <v>779</v>
      </c>
      <c r="C4" s="16">
        <v>39600000</v>
      </c>
      <c r="D4" s="52">
        <v>26855300</v>
      </c>
      <c r="E4" s="18">
        <v>0.67816414141414139</v>
      </c>
      <c r="F4" s="19">
        <v>265791537</v>
      </c>
      <c r="G4" s="20">
        <v>0.10103895821182599</v>
      </c>
      <c r="H4" s="33">
        <v>48</v>
      </c>
      <c r="I4">
        <v>0.25</v>
      </c>
      <c r="J4" s="33">
        <f>Tabla2[[#This Row],[Referencias Recomendadas]]*Tabla2[[#This Row],[Meta Referencias]]</f>
        <v>12</v>
      </c>
      <c r="K4" s="33" t="s">
        <v>245</v>
      </c>
    </row>
    <row r="5" spans="1:11" hidden="1" x14ac:dyDescent="0.35">
      <c r="A5" s="21" t="s">
        <v>144</v>
      </c>
      <c r="B5" s="15" t="s">
        <v>780</v>
      </c>
      <c r="C5" s="16">
        <v>2400000</v>
      </c>
      <c r="D5" s="52"/>
      <c r="E5" s="18"/>
      <c r="F5" s="19">
        <v>265791537</v>
      </c>
      <c r="G5" s="20"/>
      <c r="H5" s="33">
        <v>10</v>
      </c>
      <c r="J5" s="33">
        <f>Tabla2[[#This Row],[Referencias Recomendadas]]*Tabla2[[#This Row],[Meta Referencias]]</f>
        <v>0</v>
      </c>
      <c r="K5" s="33" t="s">
        <v>245</v>
      </c>
    </row>
    <row r="6" spans="1:11" hidden="1" x14ac:dyDescent="0.35">
      <c r="A6" s="21" t="s">
        <v>797</v>
      </c>
      <c r="B6" s="15" t="s">
        <v>779</v>
      </c>
      <c r="C6" s="16">
        <v>99000000</v>
      </c>
      <c r="D6" s="52">
        <v>15484450</v>
      </c>
      <c r="E6" s="18">
        <v>0.15640858585858586</v>
      </c>
      <c r="F6" s="19">
        <v>167263834</v>
      </c>
      <c r="G6" s="20">
        <v>9.25750033925445E-2</v>
      </c>
      <c r="H6" s="33">
        <v>48</v>
      </c>
      <c r="I6">
        <v>0.375</v>
      </c>
      <c r="J6" s="33">
        <f>Tabla2[[#This Row],[Referencias Recomendadas]]*Tabla2[[#This Row],[Meta Referencias]]</f>
        <v>18</v>
      </c>
      <c r="K6" s="33" t="s">
        <v>245</v>
      </c>
    </row>
    <row r="7" spans="1:11" hidden="1" x14ac:dyDescent="0.35">
      <c r="A7" s="21" t="s">
        <v>797</v>
      </c>
      <c r="B7" s="15" t="s">
        <v>780</v>
      </c>
      <c r="C7" s="16">
        <v>3000000</v>
      </c>
      <c r="D7" s="52">
        <v>969200</v>
      </c>
      <c r="E7" s="18">
        <v>0.32306666666666667</v>
      </c>
      <c r="F7" s="19">
        <v>167263834</v>
      </c>
      <c r="G7" s="20">
        <v>5.7944385036636193E-3</v>
      </c>
      <c r="H7" s="33">
        <v>10</v>
      </c>
      <c r="I7">
        <v>0.2</v>
      </c>
      <c r="J7" s="33">
        <f>Tabla2[[#This Row],[Referencias Recomendadas]]*Tabla2[[#This Row],[Meta Referencias]]</f>
        <v>2</v>
      </c>
      <c r="K7" s="33" t="s">
        <v>245</v>
      </c>
    </row>
    <row r="8" spans="1:11" hidden="1" x14ac:dyDescent="0.35">
      <c r="A8" s="21" t="s">
        <v>133</v>
      </c>
      <c r="B8" s="15" t="s">
        <v>779</v>
      </c>
      <c r="C8" s="16">
        <v>92100000</v>
      </c>
      <c r="D8" s="52">
        <v>57971000</v>
      </c>
      <c r="E8" s="18">
        <v>0.62943539630836043</v>
      </c>
      <c r="F8" s="19"/>
      <c r="G8" s="20"/>
      <c r="H8" s="33">
        <v>48</v>
      </c>
      <c r="I8">
        <v>0.25</v>
      </c>
      <c r="J8" s="33">
        <f>Tabla2[[#This Row],[Referencias Recomendadas]]*Tabla2[[#This Row],[Meta Referencias]]</f>
        <v>12</v>
      </c>
      <c r="K8" s="33" t="s">
        <v>245</v>
      </c>
    </row>
    <row r="9" spans="1:11" hidden="1" x14ac:dyDescent="0.35">
      <c r="A9" s="21" t="s">
        <v>133</v>
      </c>
      <c r="B9" s="15" t="s">
        <v>780</v>
      </c>
      <c r="C9" s="16">
        <v>3900000</v>
      </c>
      <c r="D9" s="17">
        <v>111600</v>
      </c>
      <c r="E9" s="18">
        <v>2.8615384615384615E-2</v>
      </c>
      <c r="F9" s="19"/>
      <c r="G9" s="20"/>
      <c r="H9" s="33">
        <v>10</v>
      </c>
      <c r="I9">
        <v>0.1</v>
      </c>
      <c r="J9" s="33">
        <f>Tabla2[[#This Row],[Referencias Recomendadas]]*Tabla2[[#This Row],[Meta Referencias]]</f>
        <v>1</v>
      </c>
      <c r="K9" s="33" t="s">
        <v>245</v>
      </c>
    </row>
    <row r="10" spans="1:11" hidden="1" x14ac:dyDescent="0.35">
      <c r="A10" s="21" t="s">
        <v>194</v>
      </c>
      <c r="B10" s="15" t="s">
        <v>779</v>
      </c>
      <c r="C10" s="16">
        <v>52800000</v>
      </c>
      <c r="D10" s="17"/>
      <c r="E10" s="18"/>
      <c r="F10" s="19"/>
      <c r="G10" s="20"/>
      <c r="H10" s="33">
        <v>48</v>
      </c>
      <c r="J10" s="33">
        <f>Tabla2[[#This Row],[Referencias Recomendadas]]*Tabla2[[#This Row],[Meta Referencias]]</f>
        <v>0</v>
      </c>
      <c r="K10" s="33" t="s">
        <v>245</v>
      </c>
    </row>
    <row r="11" spans="1:11" hidden="1" x14ac:dyDescent="0.35">
      <c r="A11" s="21" t="s">
        <v>194</v>
      </c>
      <c r="B11" s="15" t="s">
        <v>780</v>
      </c>
      <c r="C11" s="16">
        <v>1200000</v>
      </c>
      <c r="D11" s="17"/>
      <c r="E11" s="18"/>
      <c r="F11" s="19"/>
      <c r="G11" s="20"/>
      <c r="H11" s="33">
        <v>10</v>
      </c>
      <c r="J11" s="33">
        <f>Tabla2[[#This Row],[Referencias Recomendadas]]*Tabla2[[#This Row],[Meta Referencias]]</f>
        <v>0</v>
      </c>
      <c r="K11" s="33" t="s">
        <v>245</v>
      </c>
    </row>
    <row r="12" spans="1:11" hidden="1" x14ac:dyDescent="0.35">
      <c r="A12" s="21" t="s">
        <v>596</v>
      </c>
      <c r="B12" s="15" t="s">
        <v>779</v>
      </c>
      <c r="C12" s="16">
        <v>35100000</v>
      </c>
      <c r="D12" s="52">
        <v>22106250</v>
      </c>
      <c r="E12" s="18">
        <v>0.62980769230769229</v>
      </c>
      <c r="F12" s="19">
        <v>167263834</v>
      </c>
      <c r="G12" s="20">
        <v>0.13216395601693551</v>
      </c>
      <c r="H12" s="33">
        <v>48</v>
      </c>
      <c r="I12">
        <v>0.3125</v>
      </c>
      <c r="J12" s="33">
        <f>Tabla2[[#This Row],[Referencias Recomendadas]]*Tabla2[[#This Row],[Meta Referencias]]</f>
        <v>15</v>
      </c>
      <c r="K12" s="33" t="s">
        <v>245</v>
      </c>
    </row>
    <row r="13" spans="1:11" hidden="1" x14ac:dyDescent="0.35">
      <c r="A13" s="21" t="s">
        <v>596</v>
      </c>
      <c r="B13" s="15" t="s">
        <v>780</v>
      </c>
      <c r="C13" s="16">
        <v>900000</v>
      </c>
      <c r="D13" s="52"/>
      <c r="E13" s="18"/>
      <c r="F13" s="19">
        <v>167263834</v>
      </c>
      <c r="G13" s="20"/>
      <c r="H13" s="33">
        <v>10</v>
      </c>
      <c r="J13" s="33">
        <f>Tabla2[[#This Row],[Referencias Recomendadas]]*Tabla2[[#This Row],[Meta Referencias]]</f>
        <v>0</v>
      </c>
      <c r="K13" s="33" t="s">
        <v>245</v>
      </c>
    </row>
    <row r="14" spans="1:11" hidden="1" x14ac:dyDescent="0.35">
      <c r="A14" s="21" t="s">
        <v>794</v>
      </c>
      <c r="B14" s="15" t="s">
        <v>779</v>
      </c>
      <c r="C14" s="16"/>
      <c r="D14" s="52">
        <v>10413200</v>
      </c>
      <c r="E14" s="18"/>
      <c r="F14" s="19">
        <v>594541437</v>
      </c>
      <c r="G14" s="20">
        <v>1.7514674927527382E-2</v>
      </c>
      <c r="H14" s="33">
        <v>48</v>
      </c>
      <c r="I14">
        <v>6.25E-2</v>
      </c>
      <c r="J14" s="33">
        <f>Tabla2[[#This Row],[Referencias Recomendadas]]*Tabla2[[#This Row],[Meta Referencias]]</f>
        <v>3</v>
      </c>
      <c r="K14" s="33" t="s">
        <v>245</v>
      </c>
    </row>
    <row r="15" spans="1:11" hidden="1" x14ac:dyDescent="0.35">
      <c r="A15" s="21" t="s">
        <v>794</v>
      </c>
      <c r="B15" s="15" t="s">
        <v>780</v>
      </c>
      <c r="C15" s="16"/>
      <c r="D15" s="52"/>
      <c r="E15" s="18"/>
      <c r="F15" s="19">
        <v>594541437</v>
      </c>
      <c r="G15" s="20"/>
      <c r="H15" s="33">
        <v>10</v>
      </c>
      <c r="J15" s="33">
        <f>Tabla2[[#This Row],[Referencias Recomendadas]]*Tabla2[[#This Row],[Meta Referencias]]</f>
        <v>0</v>
      </c>
      <c r="K15" s="33" t="s">
        <v>245</v>
      </c>
    </row>
    <row r="16" spans="1:11" hidden="1" x14ac:dyDescent="0.35">
      <c r="A16" s="21" t="s">
        <v>795</v>
      </c>
      <c r="B16" s="15" t="s">
        <v>779</v>
      </c>
      <c r="C16" s="16">
        <v>18000000</v>
      </c>
      <c r="D16" s="52">
        <v>2114300</v>
      </c>
      <c r="E16" s="18">
        <v>0.11746111111111111</v>
      </c>
      <c r="F16" s="19">
        <v>13731522</v>
      </c>
      <c r="G16" s="20">
        <v>0.153974191644597</v>
      </c>
      <c r="H16" s="33">
        <v>48</v>
      </c>
      <c r="I16">
        <v>0.10416666666666667</v>
      </c>
      <c r="J16" s="33">
        <f>Tabla2[[#This Row],[Referencias Recomendadas]]*Tabla2[[#This Row],[Meta Referencias]]</f>
        <v>5</v>
      </c>
      <c r="K16" s="33" t="s">
        <v>245</v>
      </c>
    </row>
    <row r="17" spans="1:11" hidden="1" x14ac:dyDescent="0.35">
      <c r="A17" s="21" t="s">
        <v>795</v>
      </c>
      <c r="B17" s="15" t="s">
        <v>780</v>
      </c>
      <c r="C17" s="16">
        <v>0</v>
      </c>
      <c r="D17" s="52"/>
      <c r="E17" s="18"/>
      <c r="F17" s="19">
        <v>13731522</v>
      </c>
      <c r="G17" s="20"/>
      <c r="H17" s="33">
        <v>10</v>
      </c>
      <c r="J17" s="33">
        <f>Tabla2[[#This Row],[Referencias Recomendadas]]*Tabla2[[#This Row],[Meta Referencias]]</f>
        <v>0</v>
      </c>
      <c r="K17" s="33" t="s">
        <v>245</v>
      </c>
    </row>
    <row r="18" spans="1:11" hidden="1" x14ac:dyDescent="0.35">
      <c r="A18" s="21" t="s">
        <v>799</v>
      </c>
      <c r="B18" s="15" t="s">
        <v>779</v>
      </c>
      <c r="C18" s="16">
        <v>88200000</v>
      </c>
      <c r="D18" s="52">
        <v>10413200</v>
      </c>
      <c r="E18" s="18">
        <v>0.11806349206349206</v>
      </c>
      <c r="F18" s="19">
        <v>265791537</v>
      </c>
      <c r="G18" s="20">
        <v>3.9178072099413756E-2</v>
      </c>
      <c r="H18" s="33">
        <v>48</v>
      </c>
      <c r="I18">
        <v>6.25E-2</v>
      </c>
      <c r="J18" s="33">
        <f>Tabla2[[#This Row],[Referencias Recomendadas]]*Tabla2[[#This Row],[Meta Referencias]]</f>
        <v>3</v>
      </c>
      <c r="K18" s="33" t="s">
        <v>245</v>
      </c>
    </row>
    <row r="19" spans="1:11" hidden="1" x14ac:dyDescent="0.35">
      <c r="A19" s="21" t="s">
        <v>799</v>
      </c>
      <c r="B19" s="15" t="s">
        <v>780</v>
      </c>
      <c r="C19" s="16">
        <v>1800000</v>
      </c>
      <c r="D19" s="52"/>
      <c r="E19" s="18"/>
      <c r="F19" s="19">
        <v>265791537</v>
      </c>
      <c r="G19" s="20"/>
      <c r="H19" s="33">
        <v>10</v>
      </c>
      <c r="J19" s="33">
        <f>Tabla2[[#This Row],[Referencias Recomendadas]]*Tabla2[[#This Row],[Meta Referencias]]</f>
        <v>0</v>
      </c>
      <c r="K19" s="33" t="s">
        <v>245</v>
      </c>
    </row>
    <row r="20" spans="1:11" x14ac:dyDescent="0.35">
      <c r="A20" s="21" t="s">
        <v>814</v>
      </c>
      <c r="B20" s="15" t="s">
        <v>779</v>
      </c>
      <c r="C20" s="16">
        <v>111000000</v>
      </c>
      <c r="D20" s="52"/>
      <c r="E20" s="18"/>
      <c r="F20" s="325">
        <v>147754544</v>
      </c>
      <c r="G20" s="20"/>
      <c r="H20" s="33">
        <v>48</v>
      </c>
      <c r="J20" s="33">
        <f>Tabla2[[#This Row],[Referencias Recomendadas]]*Tabla2[[#This Row],[Meta Referencias]]</f>
        <v>0</v>
      </c>
      <c r="K20" s="33" t="s">
        <v>245</v>
      </c>
    </row>
    <row r="21" spans="1:11" x14ac:dyDescent="0.35">
      <c r="A21" s="21" t="s">
        <v>814</v>
      </c>
      <c r="B21" s="15" t="s">
        <v>780</v>
      </c>
      <c r="C21" s="16">
        <v>3000000</v>
      </c>
      <c r="D21" s="52"/>
      <c r="E21" s="18"/>
      <c r="F21" s="325">
        <v>147754544</v>
      </c>
      <c r="G21" s="20"/>
      <c r="H21" s="33">
        <v>10</v>
      </c>
      <c r="J21" s="33">
        <f>Tabla2[[#This Row],[Referencias Recomendadas]]*Tabla2[[#This Row],[Meta Referencias]]</f>
        <v>0</v>
      </c>
      <c r="K21" s="33" t="s">
        <v>245</v>
      </c>
    </row>
    <row r="22" spans="1:11" x14ac:dyDescent="0.35">
      <c r="A22" s="21" t="s">
        <v>131</v>
      </c>
      <c r="B22" s="15" t="s">
        <v>779</v>
      </c>
      <c r="C22" s="16">
        <v>111000000</v>
      </c>
      <c r="D22" s="17"/>
      <c r="E22" s="18"/>
      <c r="F22" s="325">
        <v>147754544</v>
      </c>
      <c r="G22" s="20"/>
      <c r="H22" s="33">
        <v>48</v>
      </c>
      <c r="J22" s="33">
        <f>Tabla2[[#This Row],[Referencias Recomendadas]]*Tabla2[[#This Row],[Meta Referencias]]</f>
        <v>0</v>
      </c>
      <c r="K22" s="33" t="s">
        <v>245</v>
      </c>
    </row>
    <row r="23" spans="1:11" x14ac:dyDescent="0.35">
      <c r="A23" s="21" t="s">
        <v>131</v>
      </c>
      <c r="B23" s="15" t="s">
        <v>780</v>
      </c>
      <c r="C23" s="16">
        <v>3000000</v>
      </c>
      <c r="D23" s="17"/>
      <c r="E23" s="18"/>
      <c r="F23" s="325">
        <v>147754544</v>
      </c>
      <c r="G23" s="20"/>
      <c r="H23" s="33">
        <v>10</v>
      </c>
      <c r="J23" s="33">
        <f>Tabla2[[#This Row],[Referencias Recomendadas]]*Tabla2[[#This Row],[Meta Referencias]]</f>
        <v>0</v>
      </c>
      <c r="K23" s="33" t="s">
        <v>245</v>
      </c>
    </row>
    <row r="24" spans="1:11" hidden="1" x14ac:dyDescent="0.35">
      <c r="A24" s="21" t="s">
        <v>801</v>
      </c>
      <c r="B24" s="15" t="s">
        <v>779</v>
      </c>
      <c r="C24" s="16">
        <v>9000000</v>
      </c>
      <c r="D24" s="17"/>
      <c r="E24" s="18"/>
      <c r="F24" s="19">
        <v>167263834</v>
      </c>
      <c r="G24" s="20"/>
      <c r="H24" s="33">
        <v>48</v>
      </c>
      <c r="J24" s="33">
        <f>Tabla2[[#This Row],[Referencias Recomendadas]]*Tabla2[[#This Row],[Meta Referencias]]</f>
        <v>0</v>
      </c>
      <c r="K24" s="33" t="s">
        <v>245</v>
      </c>
    </row>
    <row r="25" spans="1:11" hidden="1" x14ac:dyDescent="0.35">
      <c r="A25" s="21" t="s">
        <v>801</v>
      </c>
      <c r="B25" s="15" t="s">
        <v>780</v>
      </c>
      <c r="C25" s="16">
        <v>0</v>
      </c>
      <c r="D25" s="17"/>
      <c r="E25" s="18"/>
      <c r="F25" s="19">
        <v>167263834</v>
      </c>
      <c r="G25" s="20"/>
      <c r="H25" s="33">
        <v>10</v>
      </c>
      <c r="J25" s="33">
        <f>Tabla2[[#This Row],[Referencias Recomendadas]]*Tabla2[[#This Row],[Meta Referencias]]</f>
        <v>0</v>
      </c>
      <c r="K25" s="33" t="s">
        <v>245</v>
      </c>
    </row>
    <row r="26" spans="1:11" hidden="1" x14ac:dyDescent="0.35">
      <c r="A26" s="21" t="s">
        <v>802</v>
      </c>
      <c r="B26" s="15" t="s">
        <v>779</v>
      </c>
      <c r="C26" s="16">
        <v>9000000</v>
      </c>
      <c r="D26" s="17">
        <v>10413200</v>
      </c>
      <c r="E26" s="18">
        <v>1.1570222222222222</v>
      </c>
      <c r="F26" s="19">
        <v>265791537</v>
      </c>
      <c r="G26" s="20">
        <v>3.9178072099413756E-2</v>
      </c>
      <c r="H26" s="33">
        <v>48</v>
      </c>
      <c r="I26">
        <v>6.25E-2</v>
      </c>
      <c r="J26" s="33">
        <f>Tabla2[[#This Row],[Referencias Recomendadas]]*Tabla2[[#This Row],[Meta Referencias]]</f>
        <v>3</v>
      </c>
      <c r="K26" s="33" t="s">
        <v>245</v>
      </c>
    </row>
    <row r="27" spans="1:11" hidden="1" x14ac:dyDescent="0.35">
      <c r="A27" s="21" t="s">
        <v>802</v>
      </c>
      <c r="B27" s="15" t="s">
        <v>780</v>
      </c>
      <c r="C27" s="16">
        <v>0</v>
      </c>
      <c r="D27" s="17"/>
      <c r="E27" s="18"/>
      <c r="F27" s="19">
        <v>265791537</v>
      </c>
      <c r="G27" s="20"/>
      <c r="H27" s="33">
        <v>10</v>
      </c>
      <c r="J27" s="33">
        <f>Tabla2[[#This Row],[Referencias Recomendadas]]*Tabla2[[#This Row],[Meta Referencias]]</f>
        <v>0</v>
      </c>
      <c r="K27" s="33" t="s">
        <v>245</v>
      </c>
    </row>
    <row r="28" spans="1:11" hidden="1" x14ac:dyDescent="0.35">
      <c r="A28" s="21" t="s">
        <v>376</v>
      </c>
      <c r="B28" s="15" t="s">
        <v>779</v>
      </c>
      <c r="C28" s="16">
        <v>76000000</v>
      </c>
      <c r="D28" s="17">
        <v>132370750</v>
      </c>
      <c r="E28" s="18">
        <v>1.741720394736842</v>
      </c>
      <c r="F28" s="19">
        <v>317604442</v>
      </c>
      <c r="G28" s="20">
        <v>0.41677864820291149</v>
      </c>
      <c r="H28" s="33">
        <v>48</v>
      </c>
      <c r="I28">
        <v>0.66666666666666663</v>
      </c>
      <c r="J28" s="33">
        <f>Tabla2[[#This Row],[Referencias Recomendadas]]*Tabla2[[#This Row],[Meta Referencias]]</f>
        <v>32</v>
      </c>
      <c r="K28" s="33" t="s">
        <v>247</v>
      </c>
    </row>
    <row r="29" spans="1:11" hidden="1" x14ac:dyDescent="0.35">
      <c r="A29" s="21" t="s">
        <v>376</v>
      </c>
      <c r="B29" s="15" t="s">
        <v>780</v>
      </c>
      <c r="C29" s="16">
        <v>4000000</v>
      </c>
      <c r="D29" s="17">
        <v>1222900</v>
      </c>
      <c r="E29" s="18">
        <v>0.30572500000000002</v>
      </c>
      <c r="F29" s="19">
        <v>317604442</v>
      </c>
      <c r="G29" s="20">
        <v>3.8503869539708766E-3</v>
      </c>
      <c r="H29" s="33">
        <v>10</v>
      </c>
      <c r="I29">
        <v>0.3</v>
      </c>
      <c r="J29" s="33">
        <f>Tabla2[[#This Row],[Referencias Recomendadas]]*Tabla2[[#This Row],[Meta Referencias]]</f>
        <v>3</v>
      </c>
      <c r="K29" s="33" t="s">
        <v>247</v>
      </c>
    </row>
    <row r="30" spans="1:11" hidden="1" x14ac:dyDescent="0.35">
      <c r="A30" s="21" t="s">
        <v>144</v>
      </c>
      <c r="B30" s="15" t="s">
        <v>779</v>
      </c>
      <c r="C30" s="16">
        <v>52800000</v>
      </c>
      <c r="D30" s="17">
        <v>63457900</v>
      </c>
      <c r="E30" s="18">
        <v>1.2018541666666667</v>
      </c>
      <c r="F30" s="19">
        <v>365682905</v>
      </c>
      <c r="G30" s="20">
        <v>0.17353258556070594</v>
      </c>
      <c r="H30" s="33">
        <v>48</v>
      </c>
      <c r="I30">
        <v>0.3125</v>
      </c>
      <c r="J30" s="33">
        <f>Tabla2[[#This Row],[Referencias Recomendadas]]*Tabla2[[#This Row],[Meta Referencias]]</f>
        <v>15</v>
      </c>
      <c r="K30" s="33" t="s">
        <v>247</v>
      </c>
    </row>
    <row r="31" spans="1:11" hidden="1" x14ac:dyDescent="0.35">
      <c r="A31" s="21" t="s">
        <v>144</v>
      </c>
      <c r="B31" s="15" t="s">
        <v>780</v>
      </c>
      <c r="C31" s="16">
        <v>3200000</v>
      </c>
      <c r="D31" s="17">
        <v>41100</v>
      </c>
      <c r="E31" s="18">
        <v>1.2843749999999999E-2</v>
      </c>
      <c r="F31" s="19">
        <v>365682905</v>
      </c>
      <c r="G31" s="20">
        <v>1.123924565191255E-4</v>
      </c>
      <c r="H31" s="33">
        <v>10</v>
      </c>
      <c r="I31">
        <v>0.1</v>
      </c>
      <c r="J31" s="33">
        <f>Tabla2[[#This Row],[Referencias Recomendadas]]*Tabla2[[#This Row],[Meta Referencias]]</f>
        <v>1</v>
      </c>
      <c r="K31" s="33" t="s">
        <v>247</v>
      </c>
    </row>
    <row r="32" spans="1:11" hidden="1" x14ac:dyDescent="0.35">
      <c r="A32" s="21" t="s">
        <v>797</v>
      </c>
      <c r="B32" s="15" t="s">
        <v>779</v>
      </c>
      <c r="C32" s="16">
        <v>132000000</v>
      </c>
      <c r="D32" s="17">
        <v>10892100</v>
      </c>
      <c r="E32" s="18">
        <v>8.2515909090909084E-2</v>
      </c>
      <c r="F32" s="19">
        <v>237178784</v>
      </c>
      <c r="G32" s="20">
        <v>4.5923584800906983E-2</v>
      </c>
      <c r="H32" s="33">
        <v>48</v>
      </c>
      <c r="I32">
        <v>0.27083333333333331</v>
      </c>
      <c r="J32" s="33">
        <f>Tabla2[[#This Row],[Referencias Recomendadas]]*Tabla2[[#This Row],[Meta Referencias]]</f>
        <v>13</v>
      </c>
      <c r="K32" s="33" t="s">
        <v>247</v>
      </c>
    </row>
    <row r="33" spans="1:11" hidden="1" x14ac:dyDescent="0.35">
      <c r="A33" s="21" t="s">
        <v>797</v>
      </c>
      <c r="B33" s="15" t="s">
        <v>780</v>
      </c>
      <c r="C33" s="16">
        <v>4000000</v>
      </c>
      <c r="D33" s="17">
        <v>475800</v>
      </c>
      <c r="E33" s="18">
        <v>0.11895</v>
      </c>
      <c r="F33" s="19">
        <v>237178784</v>
      </c>
      <c r="G33" s="20">
        <v>2.0060816232197226E-3</v>
      </c>
      <c r="H33" s="33">
        <v>10</v>
      </c>
      <c r="I33">
        <v>0.2</v>
      </c>
      <c r="J33" s="33">
        <f>Tabla2[[#This Row],[Referencias Recomendadas]]*Tabla2[[#This Row],[Meta Referencias]]</f>
        <v>2</v>
      </c>
      <c r="K33" s="33" t="s">
        <v>247</v>
      </c>
    </row>
    <row r="34" spans="1:11" hidden="1" x14ac:dyDescent="0.35">
      <c r="A34" s="21" t="s">
        <v>133</v>
      </c>
      <c r="B34" s="15" t="s">
        <v>779</v>
      </c>
      <c r="C34" s="16">
        <v>122800000</v>
      </c>
      <c r="D34" s="17">
        <v>7701700</v>
      </c>
      <c r="E34" s="18">
        <v>6.2717426710097723E-2</v>
      </c>
      <c r="F34" s="19"/>
      <c r="G34" s="20"/>
      <c r="H34" s="33">
        <v>48</v>
      </c>
      <c r="I34">
        <v>0.41666666666666669</v>
      </c>
      <c r="J34" s="33">
        <f>Tabla2[[#This Row],[Referencias Recomendadas]]*Tabla2[[#This Row],[Meta Referencias]]</f>
        <v>20</v>
      </c>
      <c r="K34" s="33" t="s">
        <v>247</v>
      </c>
    </row>
    <row r="35" spans="1:11" hidden="1" x14ac:dyDescent="0.35">
      <c r="A35" s="21" t="s">
        <v>133</v>
      </c>
      <c r="B35" s="15" t="s">
        <v>780</v>
      </c>
      <c r="C35" s="16">
        <v>5200000</v>
      </c>
      <c r="D35" s="17">
        <v>425700</v>
      </c>
      <c r="E35" s="18">
        <v>8.1865384615384618E-2</v>
      </c>
      <c r="F35" s="19"/>
      <c r="G35" s="20"/>
      <c r="H35" s="33">
        <v>10</v>
      </c>
      <c r="I35">
        <v>0.3</v>
      </c>
      <c r="J35" s="33">
        <f>Tabla2[[#This Row],[Referencias Recomendadas]]*Tabla2[[#This Row],[Meta Referencias]]</f>
        <v>3</v>
      </c>
      <c r="K35" s="33" t="s">
        <v>247</v>
      </c>
    </row>
    <row r="36" spans="1:11" hidden="1" x14ac:dyDescent="0.35">
      <c r="A36" s="21" t="s">
        <v>194</v>
      </c>
      <c r="B36" s="15" t="s">
        <v>779</v>
      </c>
      <c r="C36" s="16">
        <v>70400000</v>
      </c>
      <c r="D36" s="17"/>
      <c r="E36" s="18"/>
      <c r="F36" s="19"/>
      <c r="G36" s="20"/>
      <c r="H36" s="33">
        <v>48</v>
      </c>
      <c r="J36" s="33">
        <f>Tabla2[[#This Row],[Referencias Recomendadas]]*Tabla2[[#This Row],[Meta Referencias]]</f>
        <v>0</v>
      </c>
      <c r="K36" s="33" t="s">
        <v>247</v>
      </c>
    </row>
    <row r="37" spans="1:11" hidden="1" x14ac:dyDescent="0.35">
      <c r="A37" s="21" t="s">
        <v>194</v>
      </c>
      <c r="B37" s="15" t="s">
        <v>780</v>
      </c>
      <c r="C37" s="16">
        <v>1600000</v>
      </c>
      <c r="D37" s="17"/>
      <c r="E37" s="18"/>
      <c r="F37" s="19"/>
      <c r="G37" s="20"/>
      <c r="H37" s="33">
        <v>10</v>
      </c>
      <c r="J37" s="33">
        <f>Tabla2[[#This Row],[Referencias Recomendadas]]*Tabla2[[#This Row],[Meta Referencias]]</f>
        <v>0</v>
      </c>
      <c r="K37" s="33" t="s">
        <v>247</v>
      </c>
    </row>
    <row r="38" spans="1:11" hidden="1" x14ac:dyDescent="0.35">
      <c r="A38" s="21" t="s">
        <v>596</v>
      </c>
      <c r="B38" s="15" t="s">
        <v>779</v>
      </c>
      <c r="C38" s="16">
        <v>46800000</v>
      </c>
      <c r="D38" s="17">
        <v>25102100</v>
      </c>
      <c r="E38" s="18">
        <v>0.53636965811965809</v>
      </c>
      <c r="F38" s="19">
        <v>237178784</v>
      </c>
      <c r="G38" s="20">
        <v>0.1058361948596549</v>
      </c>
      <c r="H38" s="33">
        <v>48</v>
      </c>
      <c r="I38">
        <v>0.3125</v>
      </c>
      <c r="J38" s="33">
        <f>Tabla2[[#This Row],[Referencias Recomendadas]]*Tabla2[[#This Row],[Meta Referencias]]</f>
        <v>15</v>
      </c>
      <c r="K38" s="33" t="s">
        <v>247</v>
      </c>
    </row>
    <row r="39" spans="1:11" hidden="1" x14ac:dyDescent="0.35">
      <c r="A39" s="21" t="s">
        <v>596</v>
      </c>
      <c r="B39" s="15" t="s">
        <v>780</v>
      </c>
      <c r="C39" s="16">
        <v>1200000</v>
      </c>
      <c r="D39" s="17">
        <v>0</v>
      </c>
      <c r="E39" s="18">
        <v>0</v>
      </c>
      <c r="F39" s="19">
        <v>237178784</v>
      </c>
      <c r="G39" s="20">
        <v>0</v>
      </c>
      <c r="H39" s="33">
        <v>10</v>
      </c>
      <c r="I39">
        <v>0.1</v>
      </c>
      <c r="J39" s="33">
        <f>Tabla2[[#This Row],[Referencias Recomendadas]]*Tabla2[[#This Row],[Meta Referencias]]</f>
        <v>1</v>
      </c>
      <c r="K39" s="33" t="s">
        <v>247</v>
      </c>
    </row>
    <row r="40" spans="1:11" hidden="1" x14ac:dyDescent="0.35">
      <c r="A40" s="21" t="s">
        <v>794</v>
      </c>
      <c r="B40" s="15" t="s">
        <v>779</v>
      </c>
      <c r="C40" s="16"/>
      <c r="D40" s="17">
        <v>34800900</v>
      </c>
      <c r="E40" s="18"/>
      <c r="F40" s="19">
        <v>924461906</v>
      </c>
      <c r="G40" s="20">
        <v>3.7644493271310628E-2</v>
      </c>
      <c r="H40" s="33">
        <v>48</v>
      </c>
      <c r="I40">
        <v>0.20833333333333334</v>
      </c>
      <c r="J40" s="33">
        <f>Tabla2[[#This Row],[Referencias Recomendadas]]*Tabla2[[#This Row],[Meta Referencias]]</f>
        <v>10</v>
      </c>
      <c r="K40" s="33" t="s">
        <v>247</v>
      </c>
    </row>
    <row r="41" spans="1:11" hidden="1" x14ac:dyDescent="0.35">
      <c r="A41" s="21" t="s">
        <v>794</v>
      </c>
      <c r="B41" s="15" t="s">
        <v>780</v>
      </c>
      <c r="C41" s="16"/>
      <c r="D41" s="17"/>
      <c r="E41" s="18"/>
      <c r="F41" s="19">
        <v>924461906</v>
      </c>
      <c r="G41" s="20"/>
      <c r="H41" s="33">
        <v>10</v>
      </c>
      <c r="J41" s="33">
        <f>Tabla2[[#This Row],[Referencias Recomendadas]]*Tabla2[[#This Row],[Meta Referencias]]</f>
        <v>0</v>
      </c>
      <c r="K41" s="33" t="s">
        <v>247</v>
      </c>
    </row>
    <row r="42" spans="1:11" hidden="1" x14ac:dyDescent="0.35">
      <c r="A42" s="21" t="s">
        <v>795</v>
      </c>
      <c r="B42" s="15" t="s">
        <v>779</v>
      </c>
      <c r="C42" s="16">
        <v>24000000</v>
      </c>
      <c r="D42" s="17">
        <v>6204700</v>
      </c>
      <c r="E42" s="18">
        <v>0.25852916666666664</v>
      </c>
      <c r="F42" s="19">
        <v>3995775</v>
      </c>
      <c r="G42" s="20">
        <v>1.5528151610138208</v>
      </c>
      <c r="H42" s="33">
        <v>48</v>
      </c>
      <c r="I42">
        <v>0.22916666666666666</v>
      </c>
      <c r="J42" s="33">
        <f>Tabla2[[#This Row],[Referencias Recomendadas]]*Tabla2[[#This Row],[Meta Referencias]]</f>
        <v>11</v>
      </c>
      <c r="K42" s="33" t="s">
        <v>247</v>
      </c>
    </row>
    <row r="43" spans="1:11" hidden="1" x14ac:dyDescent="0.35">
      <c r="A43" s="21" t="s">
        <v>795</v>
      </c>
      <c r="B43" s="15" t="s">
        <v>780</v>
      </c>
      <c r="C43" s="16">
        <v>0</v>
      </c>
      <c r="D43" s="17"/>
      <c r="E43" s="18"/>
      <c r="F43" s="19">
        <v>3995775</v>
      </c>
      <c r="G43" s="20"/>
      <c r="H43" s="33">
        <v>10</v>
      </c>
      <c r="J43" s="33">
        <f>Tabla2[[#This Row],[Referencias Recomendadas]]*Tabla2[[#This Row],[Meta Referencias]]</f>
        <v>0</v>
      </c>
      <c r="K43" s="33" t="s">
        <v>247</v>
      </c>
    </row>
    <row r="44" spans="1:11" hidden="1" x14ac:dyDescent="0.35">
      <c r="A44" s="21" t="s">
        <v>799</v>
      </c>
      <c r="B44" s="15" t="s">
        <v>779</v>
      </c>
      <c r="C44" s="16">
        <v>117600000</v>
      </c>
      <c r="D44" s="17">
        <v>34853400</v>
      </c>
      <c r="E44" s="18">
        <v>0.29637244897959186</v>
      </c>
      <c r="F44" s="19">
        <v>365682905</v>
      </c>
      <c r="G44" s="20">
        <v>9.5310443894007016E-2</v>
      </c>
      <c r="H44" s="33">
        <v>48</v>
      </c>
      <c r="I44">
        <v>0.22916666666666666</v>
      </c>
      <c r="J44" s="33">
        <f>Tabla2[[#This Row],[Referencias Recomendadas]]*Tabla2[[#This Row],[Meta Referencias]]</f>
        <v>11</v>
      </c>
      <c r="K44" s="33" t="s">
        <v>247</v>
      </c>
    </row>
    <row r="45" spans="1:11" hidden="1" x14ac:dyDescent="0.35">
      <c r="A45" s="21" t="s">
        <v>799</v>
      </c>
      <c r="B45" s="15" t="s">
        <v>780</v>
      </c>
      <c r="C45" s="16">
        <v>2400000</v>
      </c>
      <c r="D45" s="17"/>
      <c r="E45" s="18"/>
      <c r="F45" s="19">
        <v>365682905</v>
      </c>
      <c r="G45" s="20"/>
      <c r="H45" s="33">
        <v>10</v>
      </c>
      <c r="J45" s="33">
        <f>Tabla2[[#This Row],[Referencias Recomendadas]]*Tabla2[[#This Row],[Meta Referencias]]</f>
        <v>0</v>
      </c>
      <c r="K45" s="33" t="s">
        <v>247</v>
      </c>
    </row>
    <row r="46" spans="1:11" x14ac:dyDescent="0.35">
      <c r="A46" s="21" t="s">
        <v>814</v>
      </c>
      <c r="B46" s="15" t="s">
        <v>779</v>
      </c>
      <c r="C46" s="16">
        <v>148000000</v>
      </c>
      <c r="D46" s="17"/>
      <c r="E46" s="18"/>
      <c r="F46" s="325">
        <v>317604442</v>
      </c>
      <c r="G46" s="20"/>
      <c r="H46" s="33">
        <v>48</v>
      </c>
      <c r="J46" s="33">
        <f>Tabla2[[#This Row],[Referencias Recomendadas]]*Tabla2[[#This Row],[Meta Referencias]]</f>
        <v>0</v>
      </c>
      <c r="K46" s="33" t="s">
        <v>247</v>
      </c>
    </row>
    <row r="47" spans="1:11" x14ac:dyDescent="0.35">
      <c r="A47" s="21" t="s">
        <v>814</v>
      </c>
      <c r="B47" s="15" t="s">
        <v>780</v>
      </c>
      <c r="C47" s="16">
        <v>4000000</v>
      </c>
      <c r="D47" s="17"/>
      <c r="E47" s="18"/>
      <c r="F47" s="325">
        <v>317604442</v>
      </c>
      <c r="G47" s="20"/>
      <c r="H47" s="33">
        <v>10</v>
      </c>
      <c r="J47" s="33">
        <f>Tabla2[[#This Row],[Referencias Recomendadas]]*Tabla2[[#This Row],[Meta Referencias]]</f>
        <v>0</v>
      </c>
      <c r="K47" s="33" t="s">
        <v>247</v>
      </c>
    </row>
    <row r="48" spans="1:11" x14ac:dyDescent="0.35">
      <c r="A48" s="21" t="s">
        <v>131</v>
      </c>
      <c r="B48" s="15" t="s">
        <v>779</v>
      </c>
      <c r="C48" s="16">
        <v>148000000</v>
      </c>
      <c r="D48" s="324">
        <v>356200</v>
      </c>
      <c r="E48" s="324">
        <v>2.4067567567567566E-3</v>
      </c>
      <c r="F48" s="325">
        <v>317604442</v>
      </c>
      <c r="G48" s="20">
        <v>1.121520838175179E-3</v>
      </c>
      <c r="H48" s="33">
        <v>48</v>
      </c>
      <c r="I48">
        <v>4.1666666666666664E-2</v>
      </c>
      <c r="J48" s="33">
        <f>Tabla2[[#This Row],[Referencias Recomendadas]]*Tabla2[[#This Row],[Meta Referencias]]</f>
        <v>2</v>
      </c>
      <c r="K48" s="33" t="s">
        <v>247</v>
      </c>
    </row>
    <row r="49" spans="1:11" x14ac:dyDescent="0.35">
      <c r="A49" s="21" t="s">
        <v>131</v>
      </c>
      <c r="B49" s="15" t="s">
        <v>780</v>
      </c>
      <c r="C49" s="16">
        <v>4000000</v>
      </c>
      <c r="D49" s="324">
        <v>82200</v>
      </c>
      <c r="E49" s="324">
        <v>2.0549999999999999E-2</v>
      </c>
      <c r="F49" s="325">
        <v>317604442</v>
      </c>
      <c r="G49" s="20">
        <v>2.5881250111734898E-4</v>
      </c>
      <c r="H49" s="33">
        <v>10</v>
      </c>
      <c r="I49">
        <v>0.1</v>
      </c>
      <c r="J49" s="33">
        <f>Tabla2[[#This Row],[Referencias Recomendadas]]*Tabla2[[#This Row],[Meta Referencias]]</f>
        <v>1</v>
      </c>
      <c r="K49" s="33" t="s">
        <v>247</v>
      </c>
    </row>
    <row r="50" spans="1:11" hidden="1" x14ac:dyDescent="0.35">
      <c r="A50" s="21" t="s">
        <v>801</v>
      </c>
      <c r="B50" s="15" t="s">
        <v>779</v>
      </c>
      <c r="C50" s="16">
        <v>12000000</v>
      </c>
      <c r="D50" s="17"/>
      <c r="E50" s="18"/>
      <c r="F50" s="19">
        <v>237178784</v>
      </c>
      <c r="G50" s="20"/>
      <c r="H50" s="33">
        <v>48</v>
      </c>
      <c r="J50" s="33">
        <f>Tabla2[[#This Row],[Referencias Recomendadas]]*Tabla2[[#This Row],[Meta Referencias]]</f>
        <v>0</v>
      </c>
      <c r="K50" s="33" t="s">
        <v>247</v>
      </c>
    </row>
    <row r="51" spans="1:11" hidden="1" x14ac:dyDescent="0.35">
      <c r="A51" s="21" t="s">
        <v>801</v>
      </c>
      <c r="B51" s="15" t="s">
        <v>780</v>
      </c>
      <c r="C51" s="16">
        <v>0</v>
      </c>
      <c r="D51" s="17"/>
      <c r="E51" s="18"/>
      <c r="F51" s="19">
        <v>237178784</v>
      </c>
      <c r="G51" s="20"/>
      <c r="H51" s="33">
        <v>10</v>
      </c>
      <c r="J51" s="33">
        <f>Tabla2[[#This Row],[Referencias Recomendadas]]*Tabla2[[#This Row],[Meta Referencias]]</f>
        <v>0</v>
      </c>
      <c r="K51" s="33" t="s">
        <v>247</v>
      </c>
    </row>
    <row r="52" spans="1:11" hidden="1" x14ac:dyDescent="0.35">
      <c r="A52" s="21" t="s">
        <v>802</v>
      </c>
      <c r="B52" s="15" t="s">
        <v>779</v>
      </c>
      <c r="C52" s="16">
        <v>12000000</v>
      </c>
      <c r="D52" s="17">
        <v>33581800</v>
      </c>
      <c r="E52" s="18">
        <v>2.7984833333333334</v>
      </c>
      <c r="F52" s="19">
        <v>365682905</v>
      </c>
      <c r="G52" s="20">
        <v>9.18331142660333E-2</v>
      </c>
      <c r="H52" s="33">
        <v>48</v>
      </c>
      <c r="I52">
        <v>0.14583333333333334</v>
      </c>
      <c r="J52" s="33">
        <f>Tabla2[[#This Row],[Referencias Recomendadas]]*Tabla2[[#This Row],[Meta Referencias]]</f>
        <v>7</v>
      </c>
      <c r="K52" s="33" t="s">
        <v>247</v>
      </c>
    </row>
    <row r="53" spans="1:11" hidden="1" x14ac:dyDescent="0.35">
      <c r="A53" s="21" t="s">
        <v>802</v>
      </c>
      <c r="B53" s="15" t="s">
        <v>780</v>
      </c>
      <c r="C53" s="16">
        <v>0</v>
      </c>
      <c r="D53" s="17"/>
      <c r="E53" s="18"/>
      <c r="F53" s="19">
        <v>365682905</v>
      </c>
      <c r="G53" s="20"/>
      <c r="H53" s="33">
        <v>10</v>
      </c>
      <c r="J53" s="33">
        <f>Tabla2[[#This Row],[Referencias Recomendadas]]*Tabla2[[#This Row],[Meta Referencias]]</f>
        <v>0</v>
      </c>
      <c r="K53" s="33" t="s">
        <v>247</v>
      </c>
    </row>
    <row r="54" spans="1:11" hidden="1" x14ac:dyDescent="0.35">
      <c r="A54" s="21" t="s">
        <v>376</v>
      </c>
      <c r="B54" s="15" t="s">
        <v>779</v>
      </c>
      <c r="C54" s="16">
        <v>85500000</v>
      </c>
      <c r="D54" s="17">
        <v>120279350</v>
      </c>
      <c r="E54" s="18">
        <v>1.406776023391813</v>
      </c>
      <c r="F54" s="19">
        <v>403089252</v>
      </c>
      <c r="G54" s="20">
        <v>0.29839384057801671</v>
      </c>
      <c r="H54" s="33">
        <v>48</v>
      </c>
      <c r="I54">
        <v>0.66666666666666663</v>
      </c>
      <c r="J54" s="33">
        <f>Tabla2[[#This Row],[Referencias Recomendadas]]*Tabla2[[#This Row],[Meta Referencias]]</f>
        <v>32</v>
      </c>
      <c r="K54" s="33" t="s">
        <v>248</v>
      </c>
    </row>
    <row r="55" spans="1:11" hidden="1" x14ac:dyDescent="0.35">
      <c r="A55" s="21" t="s">
        <v>376</v>
      </c>
      <c r="B55" s="15" t="s">
        <v>780</v>
      </c>
      <c r="C55" s="16">
        <v>4500000</v>
      </c>
      <c r="D55" s="17">
        <v>646200</v>
      </c>
      <c r="E55" s="18">
        <v>0.14360000000000001</v>
      </c>
      <c r="F55" s="19">
        <v>403089252</v>
      </c>
      <c r="G55" s="20">
        <v>1.6031189042966594E-3</v>
      </c>
      <c r="H55" s="33">
        <v>10</v>
      </c>
      <c r="I55">
        <v>0.2</v>
      </c>
      <c r="J55" s="33">
        <f>Tabla2[[#This Row],[Referencias Recomendadas]]*Tabla2[[#This Row],[Meta Referencias]]</f>
        <v>2</v>
      </c>
      <c r="K55" s="33" t="s">
        <v>248</v>
      </c>
    </row>
    <row r="56" spans="1:11" hidden="1" x14ac:dyDescent="0.35">
      <c r="A56" s="21" t="s">
        <v>144</v>
      </c>
      <c r="B56" s="15" t="s">
        <v>779</v>
      </c>
      <c r="C56" s="16">
        <v>59400000</v>
      </c>
      <c r="D56" s="17">
        <v>9931900</v>
      </c>
      <c r="E56" s="18">
        <v>0.16720370370370372</v>
      </c>
      <c r="F56" s="19">
        <v>385193920</v>
      </c>
      <c r="G56" s="20">
        <v>2.5784155679300442E-2</v>
      </c>
      <c r="H56" s="33">
        <v>48</v>
      </c>
      <c r="I56">
        <v>0.1875</v>
      </c>
      <c r="J56" s="33">
        <f>Tabla2[[#This Row],[Referencias Recomendadas]]*Tabla2[[#This Row],[Meta Referencias]]</f>
        <v>9</v>
      </c>
      <c r="K56" s="33" t="s">
        <v>248</v>
      </c>
    </row>
    <row r="57" spans="1:11" hidden="1" x14ac:dyDescent="0.35">
      <c r="A57" s="21" t="s">
        <v>144</v>
      </c>
      <c r="B57" s="15" t="s">
        <v>780</v>
      </c>
      <c r="C57" s="16">
        <v>3600000</v>
      </c>
      <c r="D57" s="17"/>
      <c r="E57" s="18"/>
      <c r="F57" s="19">
        <v>385193920</v>
      </c>
      <c r="G57" s="20"/>
      <c r="H57" s="33">
        <v>10</v>
      </c>
      <c r="J57" s="33">
        <f>Tabla2[[#This Row],[Referencias Recomendadas]]*Tabla2[[#This Row],[Meta Referencias]]</f>
        <v>0</v>
      </c>
      <c r="K57" s="33" t="s">
        <v>248</v>
      </c>
    </row>
    <row r="58" spans="1:11" hidden="1" x14ac:dyDescent="0.35">
      <c r="A58" s="21" t="s">
        <v>797</v>
      </c>
      <c r="B58" s="15" t="s">
        <v>779</v>
      </c>
      <c r="C58" s="16">
        <v>148500000</v>
      </c>
      <c r="D58" s="17">
        <v>10399700</v>
      </c>
      <c r="E58" s="18">
        <v>7.0031649831649834E-2</v>
      </c>
      <c r="F58" s="19">
        <v>243637688</v>
      </c>
      <c r="G58" s="20">
        <v>4.2685103792316402E-2</v>
      </c>
      <c r="H58" s="33">
        <v>48</v>
      </c>
      <c r="I58">
        <v>0.27083333333333331</v>
      </c>
      <c r="J58" s="33">
        <f>Tabla2[[#This Row],[Referencias Recomendadas]]*Tabla2[[#This Row],[Meta Referencias]]</f>
        <v>13</v>
      </c>
      <c r="K58" s="33" t="s">
        <v>248</v>
      </c>
    </row>
    <row r="59" spans="1:11" hidden="1" x14ac:dyDescent="0.35">
      <c r="A59" s="21" t="s">
        <v>797</v>
      </c>
      <c r="B59" s="15" t="s">
        <v>780</v>
      </c>
      <c r="C59" s="16">
        <v>4500000</v>
      </c>
      <c r="D59" s="17">
        <v>261400</v>
      </c>
      <c r="E59" s="18">
        <v>5.8088888888888891E-2</v>
      </c>
      <c r="F59" s="19">
        <v>243637688</v>
      </c>
      <c r="G59" s="20">
        <v>1.0729046156438655E-3</v>
      </c>
      <c r="H59" s="33">
        <v>10</v>
      </c>
      <c r="I59">
        <v>0.2</v>
      </c>
      <c r="J59" s="33">
        <f>Tabla2[[#This Row],[Referencias Recomendadas]]*Tabla2[[#This Row],[Meta Referencias]]</f>
        <v>2</v>
      </c>
      <c r="K59" s="33" t="s">
        <v>248</v>
      </c>
    </row>
    <row r="60" spans="1:11" hidden="1" x14ac:dyDescent="0.35">
      <c r="A60" s="21" t="s">
        <v>133</v>
      </c>
      <c r="B60" s="15" t="s">
        <v>779</v>
      </c>
      <c r="C60" s="16">
        <v>138150000</v>
      </c>
      <c r="D60" s="17">
        <v>952050</v>
      </c>
      <c r="E60" s="18">
        <v>6.8914223669923995E-3</v>
      </c>
      <c r="F60" s="19"/>
      <c r="G60" s="20"/>
      <c r="H60" s="33">
        <v>48</v>
      </c>
      <c r="I60">
        <v>0.14583333333333334</v>
      </c>
      <c r="J60" s="33">
        <f>Tabla2[[#This Row],[Referencias Recomendadas]]*Tabla2[[#This Row],[Meta Referencias]]</f>
        <v>7</v>
      </c>
      <c r="K60" s="33" t="s">
        <v>248</v>
      </c>
    </row>
    <row r="61" spans="1:11" hidden="1" x14ac:dyDescent="0.35">
      <c r="A61" s="21" t="s">
        <v>133</v>
      </c>
      <c r="B61" s="15" t="s">
        <v>780</v>
      </c>
      <c r="C61" s="16">
        <v>5850000</v>
      </c>
      <c r="D61" s="17">
        <v>55800</v>
      </c>
      <c r="E61" s="18">
        <v>9.5384615384615391E-3</v>
      </c>
      <c r="F61" s="19"/>
      <c r="G61" s="20"/>
      <c r="H61" s="33">
        <v>10</v>
      </c>
      <c r="I61">
        <v>0.1</v>
      </c>
      <c r="J61" s="33">
        <f>Tabla2[[#This Row],[Referencias Recomendadas]]*Tabla2[[#This Row],[Meta Referencias]]</f>
        <v>1</v>
      </c>
      <c r="K61" s="33" t="s">
        <v>248</v>
      </c>
    </row>
    <row r="62" spans="1:11" hidden="1" x14ac:dyDescent="0.35">
      <c r="A62" s="21" t="s">
        <v>194</v>
      </c>
      <c r="B62" s="15" t="s">
        <v>779</v>
      </c>
      <c r="C62" s="16">
        <v>79200000</v>
      </c>
      <c r="D62" s="17"/>
      <c r="E62" s="18"/>
      <c r="F62" s="19"/>
      <c r="G62" s="20"/>
      <c r="H62" s="33">
        <v>48</v>
      </c>
      <c r="J62" s="33">
        <f>Tabla2[[#This Row],[Referencias Recomendadas]]*Tabla2[[#This Row],[Meta Referencias]]</f>
        <v>0</v>
      </c>
      <c r="K62" s="33" t="s">
        <v>248</v>
      </c>
    </row>
    <row r="63" spans="1:11" hidden="1" x14ac:dyDescent="0.35">
      <c r="A63" s="21" t="s">
        <v>194</v>
      </c>
      <c r="B63" s="15" t="s">
        <v>780</v>
      </c>
      <c r="C63" s="16">
        <v>1800000</v>
      </c>
      <c r="D63" s="17"/>
      <c r="E63" s="18"/>
      <c r="F63" s="19"/>
      <c r="G63" s="20"/>
      <c r="H63" s="33">
        <v>10</v>
      </c>
      <c r="J63" s="33">
        <f>Tabla2[[#This Row],[Referencias Recomendadas]]*Tabla2[[#This Row],[Meta Referencias]]</f>
        <v>0</v>
      </c>
      <c r="K63" s="33" t="s">
        <v>248</v>
      </c>
    </row>
    <row r="64" spans="1:11" hidden="1" x14ac:dyDescent="0.35">
      <c r="A64" s="21" t="s">
        <v>596</v>
      </c>
      <c r="B64" s="15" t="s">
        <v>779</v>
      </c>
      <c r="C64" s="16">
        <v>52650000</v>
      </c>
      <c r="D64" s="17">
        <v>17216700</v>
      </c>
      <c r="E64" s="18">
        <v>0.32700284900284898</v>
      </c>
      <c r="F64" s="19">
        <v>243637688</v>
      </c>
      <c r="G64" s="20">
        <v>7.0665175578254538E-2</v>
      </c>
      <c r="H64" s="33">
        <v>48</v>
      </c>
      <c r="I64">
        <v>0.1875</v>
      </c>
      <c r="J64" s="33">
        <f>Tabla2[[#This Row],[Referencias Recomendadas]]*Tabla2[[#This Row],[Meta Referencias]]</f>
        <v>9</v>
      </c>
      <c r="K64" s="33" t="s">
        <v>248</v>
      </c>
    </row>
    <row r="65" spans="1:11" hidden="1" x14ac:dyDescent="0.35">
      <c r="A65" s="21" t="s">
        <v>596</v>
      </c>
      <c r="B65" s="15" t="s">
        <v>780</v>
      </c>
      <c r="C65" s="16">
        <v>1350000</v>
      </c>
      <c r="D65" s="17"/>
      <c r="E65" s="18"/>
      <c r="F65" s="19">
        <v>243637688</v>
      </c>
      <c r="G65" s="20"/>
      <c r="H65" s="33">
        <v>10</v>
      </c>
      <c r="J65" s="33">
        <f>Tabla2[[#This Row],[Referencias Recomendadas]]*Tabla2[[#This Row],[Meta Referencias]]</f>
        <v>0</v>
      </c>
      <c r="K65" s="33" t="s">
        <v>248</v>
      </c>
    </row>
    <row r="66" spans="1:11" hidden="1" x14ac:dyDescent="0.35">
      <c r="A66" s="21" t="s">
        <v>794</v>
      </c>
      <c r="B66" s="15" t="s">
        <v>779</v>
      </c>
      <c r="C66" s="16"/>
      <c r="D66" s="17">
        <v>311000</v>
      </c>
      <c r="E66" s="18"/>
      <c r="F66" s="19">
        <v>1041049179</v>
      </c>
      <c r="G66" s="20">
        <v>2.987370878086058E-4</v>
      </c>
      <c r="H66" s="33">
        <v>48</v>
      </c>
      <c r="I66">
        <v>2.0833333333333332E-2</v>
      </c>
      <c r="J66" s="33">
        <f>Tabla2[[#This Row],[Referencias Recomendadas]]*Tabla2[[#This Row],[Meta Referencias]]</f>
        <v>1</v>
      </c>
      <c r="K66" s="33" t="s">
        <v>248</v>
      </c>
    </row>
    <row r="67" spans="1:11" hidden="1" x14ac:dyDescent="0.35">
      <c r="A67" s="21" t="s">
        <v>794</v>
      </c>
      <c r="B67" s="15" t="s">
        <v>780</v>
      </c>
      <c r="C67" s="16"/>
      <c r="D67" s="17"/>
      <c r="E67" s="18"/>
      <c r="F67" s="19">
        <v>1041049179</v>
      </c>
      <c r="G67" s="20"/>
      <c r="H67" s="33">
        <v>10</v>
      </c>
      <c r="J67" s="33">
        <f>Tabla2[[#This Row],[Referencias Recomendadas]]*Tabla2[[#This Row],[Meta Referencias]]</f>
        <v>0</v>
      </c>
      <c r="K67" s="33" t="s">
        <v>248</v>
      </c>
    </row>
    <row r="68" spans="1:11" hidden="1" x14ac:dyDescent="0.35">
      <c r="A68" s="21" t="s">
        <v>795</v>
      </c>
      <c r="B68" s="15" t="s">
        <v>779</v>
      </c>
      <c r="C68" s="16">
        <v>27000000</v>
      </c>
      <c r="D68" s="17"/>
      <c r="E68" s="18"/>
      <c r="F68" s="19">
        <v>9128319</v>
      </c>
      <c r="G68" s="20"/>
      <c r="H68" s="33">
        <v>48</v>
      </c>
      <c r="J68" s="33">
        <f>Tabla2[[#This Row],[Referencias Recomendadas]]*Tabla2[[#This Row],[Meta Referencias]]</f>
        <v>0</v>
      </c>
      <c r="K68" s="33" t="s">
        <v>248</v>
      </c>
    </row>
    <row r="69" spans="1:11" hidden="1" x14ac:dyDescent="0.35">
      <c r="A69" s="21" t="s">
        <v>795</v>
      </c>
      <c r="B69" s="15" t="s">
        <v>780</v>
      </c>
      <c r="C69" s="16">
        <v>0</v>
      </c>
      <c r="D69" s="17"/>
      <c r="E69" s="18"/>
      <c r="F69" s="19">
        <v>9128319</v>
      </c>
      <c r="G69" s="20"/>
      <c r="H69" s="33">
        <v>10</v>
      </c>
      <c r="J69" s="33">
        <f>Tabla2[[#This Row],[Referencias Recomendadas]]*Tabla2[[#This Row],[Meta Referencias]]</f>
        <v>0</v>
      </c>
      <c r="K69" s="33" t="s">
        <v>248</v>
      </c>
    </row>
    <row r="70" spans="1:11" hidden="1" x14ac:dyDescent="0.35">
      <c r="A70" s="21" t="s">
        <v>799</v>
      </c>
      <c r="B70" s="15" t="s">
        <v>779</v>
      </c>
      <c r="C70" s="16">
        <v>132300000</v>
      </c>
      <c r="D70" s="17"/>
      <c r="E70" s="18"/>
      <c r="F70" s="19">
        <v>385193920</v>
      </c>
      <c r="G70" s="20"/>
      <c r="H70" s="33">
        <v>48</v>
      </c>
      <c r="J70" s="33">
        <f>Tabla2[[#This Row],[Referencias Recomendadas]]*Tabla2[[#This Row],[Meta Referencias]]</f>
        <v>0</v>
      </c>
      <c r="K70" s="33" t="s">
        <v>248</v>
      </c>
    </row>
    <row r="71" spans="1:11" hidden="1" x14ac:dyDescent="0.35">
      <c r="A71" s="21" t="s">
        <v>799</v>
      </c>
      <c r="B71" s="15" t="s">
        <v>780</v>
      </c>
      <c r="C71" s="16">
        <v>2700000</v>
      </c>
      <c r="D71" s="17"/>
      <c r="E71" s="18"/>
      <c r="F71" s="19">
        <v>385193920</v>
      </c>
      <c r="G71" s="20"/>
      <c r="H71" s="33">
        <v>10</v>
      </c>
      <c r="J71" s="33">
        <f>Tabla2[[#This Row],[Referencias Recomendadas]]*Tabla2[[#This Row],[Meta Referencias]]</f>
        <v>0</v>
      </c>
      <c r="K71" s="33" t="s">
        <v>248</v>
      </c>
    </row>
    <row r="72" spans="1:11" x14ac:dyDescent="0.35">
      <c r="A72" s="21" t="s">
        <v>814</v>
      </c>
      <c r="B72" s="15" t="s">
        <v>779</v>
      </c>
      <c r="C72" s="16">
        <v>166500000</v>
      </c>
      <c r="D72" s="324">
        <v>442300</v>
      </c>
      <c r="E72" s="324"/>
      <c r="F72" s="325">
        <v>403089252</v>
      </c>
      <c r="G72" s="20">
        <v>1.0972755979115018E-3</v>
      </c>
      <c r="H72" s="33">
        <v>48</v>
      </c>
      <c r="I72">
        <v>6.25E-2</v>
      </c>
      <c r="J72" s="33">
        <f>Tabla2[[#This Row],[Referencias Recomendadas]]*Tabla2[[#This Row],[Meta Referencias]]</f>
        <v>3</v>
      </c>
      <c r="K72" s="33" t="s">
        <v>248</v>
      </c>
    </row>
    <row r="73" spans="1:11" x14ac:dyDescent="0.35">
      <c r="A73" s="21" t="s">
        <v>814</v>
      </c>
      <c r="B73" s="15" t="s">
        <v>780</v>
      </c>
      <c r="C73" s="16">
        <v>4500000</v>
      </c>
      <c r="D73" s="324"/>
      <c r="E73" s="324"/>
      <c r="F73" s="325">
        <v>403089252</v>
      </c>
      <c r="G73" s="20"/>
      <c r="H73" s="33">
        <v>10</v>
      </c>
      <c r="J73" s="33">
        <f>Tabla2[[#This Row],[Referencias Recomendadas]]*Tabla2[[#This Row],[Meta Referencias]]</f>
        <v>0</v>
      </c>
      <c r="K73" s="33" t="s">
        <v>248</v>
      </c>
    </row>
    <row r="74" spans="1:11" x14ac:dyDescent="0.35">
      <c r="A74" s="21" t="s">
        <v>131</v>
      </c>
      <c r="B74" s="15" t="s">
        <v>779</v>
      </c>
      <c r="C74" s="16">
        <v>166500000</v>
      </c>
      <c r="D74" s="324">
        <v>622000</v>
      </c>
      <c r="E74" s="324">
        <v>3.7357357357357358E-3</v>
      </c>
      <c r="F74" s="325">
        <v>403089252</v>
      </c>
      <c r="G74" s="20">
        <v>1.5430825726903778E-3</v>
      </c>
      <c r="H74" s="33">
        <v>48</v>
      </c>
      <c r="I74">
        <v>2.0833333333333332E-2</v>
      </c>
      <c r="J74" s="33">
        <f>Tabla2[[#This Row],[Referencias Recomendadas]]*Tabla2[[#This Row],[Meta Referencias]]</f>
        <v>1</v>
      </c>
      <c r="K74" s="33" t="s">
        <v>248</v>
      </c>
    </row>
    <row r="75" spans="1:11" x14ac:dyDescent="0.35">
      <c r="A75" s="21" t="s">
        <v>131</v>
      </c>
      <c r="B75" s="15" t="s">
        <v>780</v>
      </c>
      <c r="C75" s="16">
        <v>4500000</v>
      </c>
      <c r="D75" s="324">
        <v>41100</v>
      </c>
      <c r="E75" s="324">
        <v>9.1333333333333336E-3</v>
      </c>
      <c r="F75" s="325">
        <v>403089252</v>
      </c>
      <c r="G75" s="20">
        <v>1.0196253012471788E-4</v>
      </c>
      <c r="H75" s="33">
        <v>10</v>
      </c>
      <c r="I75">
        <v>0.1</v>
      </c>
      <c r="J75" s="33">
        <f>Tabla2[[#This Row],[Referencias Recomendadas]]*Tabla2[[#This Row],[Meta Referencias]]</f>
        <v>1</v>
      </c>
      <c r="K75" s="33" t="s">
        <v>248</v>
      </c>
    </row>
    <row r="76" spans="1:11" hidden="1" x14ac:dyDescent="0.35">
      <c r="A76" s="21" t="s">
        <v>801</v>
      </c>
      <c r="B76" s="15" t="s">
        <v>779</v>
      </c>
      <c r="C76" s="16">
        <v>13500000</v>
      </c>
      <c r="D76" s="17"/>
      <c r="E76" s="18"/>
      <c r="F76" s="19">
        <v>243637688</v>
      </c>
      <c r="G76" s="20"/>
      <c r="H76" s="33">
        <v>48</v>
      </c>
      <c r="J76" s="33">
        <f>Tabla2[[#This Row],[Referencias Recomendadas]]*Tabla2[[#This Row],[Meta Referencias]]</f>
        <v>0</v>
      </c>
      <c r="K76" s="33" t="s">
        <v>248</v>
      </c>
    </row>
    <row r="77" spans="1:11" hidden="1" x14ac:dyDescent="0.35">
      <c r="A77" s="21" t="s">
        <v>801</v>
      </c>
      <c r="B77" s="15" t="s">
        <v>780</v>
      </c>
      <c r="C77" s="16">
        <v>0</v>
      </c>
      <c r="D77" s="17"/>
      <c r="E77" s="18"/>
      <c r="F77" s="19">
        <v>243637688</v>
      </c>
      <c r="G77" s="20"/>
      <c r="H77" s="33">
        <v>10</v>
      </c>
      <c r="J77" s="33">
        <f>Tabla2[[#This Row],[Referencias Recomendadas]]*Tabla2[[#This Row],[Meta Referencias]]</f>
        <v>0</v>
      </c>
      <c r="K77" s="33" t="s">
        <v>248</v>
      </c>
    </row>
    <row r="78" spans="1:11" hidden="1" x14ac:dyDescent="0.35">
      <c r="A78" s="21" t="s">
        <v>802</v>
      </c>
      <c r="B78" s="15" t="s">
        <v>779</v>
      </c>
      <c r="C78" s="16">
        <v>13500000</v>
      </c>
      <c r="D78" s="17"/>
      <c r="E78" s="18"/>
      <c r="F78" s="19">
        <v>385193920</v>
      </c>
      <c r="G78" s="20"/>
      <c r="H78" s="33">
        <v>48</v>
      </c>
      <c r="J78" s="33">
        <f>Tabla2[[#This Row],[Referencias Recomendadas]]*Tabla2[[#This Row],[Meta Referencias]]</f>
        <v>0</v>
      </c>
      <c r="K78" s="33" t="s">
        <v>248</v>
      </c>
    </row>
    <row r="79" spans="1:11" hidden="1" x14ac:dyDescent="0.35">
      <c r="A79" s="21" t="s">
        <v>802</v>
      </c>
      <c r="B79" s="15" t="s">
        <v>780</v>
      </c>
      <c r="C79" s="16">
        <v>0</v>
      </c>
      <c r="D79" s="17"/>
      <c r="E79" s="18"/>
      <c r="F79" s="19">
        <v>385193920</v>
      </c>
      <c r="G79" s="20"/>
      <c r="H79" s="33">
        <v>10</v>
      </c>
      <c r="J79" s="33">
        <f>Tabla2[[#This Row],[Referencias Recomendadas]]*Tabla2[[#This Row],[Meta Referencias]]</f>
        <v>0</v>
      </c>
      <c r="K79" s="33" t="s">
        <v>248</v>
      </c>
    </row>
  </sheetData>
  <phoneticPr fontId="2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57"/>
  <sheetViews>
    <sheetView workbookViewId="0"/>
  </sheetViews>
  <sheetFormatPr baseColWidth="10" defaultRowHeight="14.5" x14ac:dyDescent="0.35"/>
  <cols>
    <col min="1" max="1" width="19.08984375" bestFit="1" customWidth="1"/>
    <col min="2" max="2" width="20.453125" bestFit="1" customWidth="1"/>
    <col min="3" max="3" width="17.1796875" bestFit="1" customWidth="1"/>
    <col min="4" max="4" width="19.7265625" bestFit="1" customWidth="1"/>
    <col min="5" max="5" width="7.7265625" bestFit="1" customWidth="1"/>
    <col min="6" max="6" width="9.26953125" bestFit="1" customWidth="1"/>
    <col min="7" max="7" width="5.453125" bestFit="1" customWidth="1"/>
    <col min="9" max="10" width="38.453125" bestFit="1" customWidth="1"/>
    <col min="11" max="11" width="40.81640625" bestFit="1" customWidth="1"/>
  </cols>
  <sheetData>
    <row r="1" spans="1:11" x14ac:dyDescent="0.35">
      <c r="A1" s="22" t="s">
        <v>78</v>
      </c>
      <c r="B1" s="22" t="s">
        <v>90</v>
      </c>
      <c r="C1" s="22" t="s">
        <v>365</v>
      </c>
      <c r="D1" s="22" t="s">
        <v>374</v>
      </c>
      <c r="E1" s="22" t="s">
        <v>91</v>
      </c>
      <c r="F1" s="22" t="s">
        <v>92</v>
      </c>
      <c r="G1" s="22" t="s">
        <v>244</v>
      </c>
      <c r="J1" s="27" t="s">
        <v>383</v>
      </c>
    </row>
    <row r="2" spans="1:11" x14ac:dyDescent="0.35">
      <c r="A2" s="21" t="s">
        <v>838</v>
      </c>
      <c r="B2" s="21" t="s">
        <v>376</v>
      </c>
      <c r="C2" s="21" t="s">
        <v>580</v>
      </c>
      <c r="D2" s="15" t="s">
        <v>844</v>
      </c>
      <c r="E2" s="26">
        <v>1</v>
      </c>
      <c r="F2" s="26">
        <v>1</v>
      </c>
      <c r="G2" t="s">
        <v>245</v>
      </c>
      <c r="I2" s="27" t="s">
        <v>4</v>
      </c>
      <c r="J2" t="s">
        <v>382</v>
      </c>
      <c r="K2" t="s">
        <v>384</v>
      </c>
    </row>
    <row r="3" spans="1:11" x14ac:dyDescent="0.35">
      <c r="A3" s="21" t="s">
        <v>838</v>
      </c>
      <c r="B3" s="21" t="s">
        <v>376</v>
      </c>
      <c r="C3" s="21" t="s">
        <v>580</v>
      </c>
      <c r="D3" s="15" t="s">
        <v>370</v>
      </c>
      <c r="E3" s="26">
        <v>1</v>
      </c>
      <c r="F3" s="26">
        <v>2</v>
      </c>
      <c r="G3" t="s">
        <v>245</v>
      </c>
      <c r="I3" t="s">
        <v>381</v>
      </c>
    </row>
    <row r="4" spans="1:11" x14ac:dyDescent="0.35">
      <c r="A4" s="21" t="s">
        <v>838</v>
      </c>
      <c r="B4" s="21" t="s">
        <v>376</v>
      </c>
      <c r="C4" s="21" t="s">
        <v>580</v>
      </c>
      <c r="D4" s="15" t="s">
        <v>854</v>
      </c>
      <c r="E4" s="26">
        <v>1</v>
      </c>
      <c r="F4" s="26">
        <v>1</v>
      </c>
      <c r="G4" t="s">
        <v>245</v>
      </c>
      <c r="I4" t="s">
        <v>777</v>
      </c>
      <c r="J4">
        <v>840</v>
      </c>
      <c r="K4">
        <v>84</v>
      </c>
    </row>
    <row r="5" spans="1:11" x14ac:dyDescent="0.35">
      <c r="A5" s="21" t="s">
        <v>838</v>
      </c>
      <c r="B5" s="21" t="s">
        <v>376</v>
      </c>
      <c r="C5" s="21" t="s">
        <v>580</v>
      </c>
      <c r="D5" s="15" t="s">
        <v>855</v>
      </c>
      <c r="E5" s="26">
        <v>1</v>
      </c>
      <c r="F5" s="26">
        <v>1</v>
      </c>
      <c r="G5" t="s">
        <v>245</v>
      </c>
      <c r="I5" t="s">
        <v>518</v>
      </c>
      <c r="J5">
        <v>30</v>
      </c>
      <c r="K5">
        <v>3</v>
      </c>
    </row>
    <row r="6" spans="1:11" x14ac:dyDescent="0.35">
      <c r="A6" s="21" t="s">
        <v>838</v>
      </c>
      <c r="B6" s="21" t="s">
        <v>376</v>
      </c>
      <c r="C6" s="21" t="s">
        <v>580</v>
      </c>
      <c r="D6" s="15" t="s">
        <v>856</v>
      </c>
      <c r="E6" s="26">
        <v>1</v>
      </c>
      <c r="F6" s="26">
        <v>2</v>
      </c>
      <c r="G6" t="s">
        <v>245</v>
      </c>
      <c r="I6" t="s">
        <v>772</v>
      </c>
      <c r="J6">
        <v>60</v>
      </c>
      <c r="K6">
        <v>6</v>
      </c>
    </row>
    <row r="7" spans="1:11" x14ac:dyDescent="0.35">
      <c r="A7" s="21" t="s">
        <v>838</v>
      </c>
      <c r="B7" s="21" t="s">
        <v>376</v>
      </c>
      <c r="C7" s="21" t="s">
        <v>580</v>
      </c>
      <c r="D7" s="15" t="s">
        <v>372</v>
      </c>
      <c r="E7" s="26">
        <v>2</v>
      </c>
      <c r="F7" s="26">
        <v>2</v>
      </c>
      <c r="G7" t="s">
        <v>245</v>
      </c>
      <c r="I7" t="s">
        <v>775</v>
      </c>
      <c r="J7">
        <v>120</v>
      </c>
      <c r="K7">
        <v>12</v>
      </c>
    </row>
    <row r="8" spans="1:11" x14ac:dyDescent="0.35">
      <c r="A8" s="21" t="s">
        <v>838</v>
      </c>
      <c r="B8" s="21" t="s">
        <v>194</v>
      </c>
      <c r="C8" s="21" t="s">
        <v>493</v>
      </c>
      <c r="D8" s="15" t="s">
        <v>373</v>
      </c>
      <c r="E8" s="26">
        <v>2</v>
      </c>
      <c r="F8" s="26">
        <v>5</v>
      </c>
      <c r="G8" t="s">
        <v>245</v>
      </c>
      <c r="I8" t="s">
        <v>773</v>
      </c>
      <c r="J8">
        <v>30</v>
      </c>
      <c r="K8">
        <v>3</v>
      </c>
    </row>
    <row r="9" spans="1:11" x14ac:dyDescent="0.35">
      <c r="A9" s="21" t="s">
        <v>838</v>
      </c>
      <c r="B9" s="21" t="s">
        <v>799</v>
      </c>
      <c r="C9" s="21" t="s">
        <v>813</v>
      </c>
      <c r="D9" s="15" t="s">
        <v>369</v>
      </c>
      <c r="E9" s="26">
        <v>1</v>
      </c>
      <c r="F9" s="26">
        <v>1</v>
      </c>
      <c r="G9" t="s">
        <v>245</v>
      </c>
      <c r="I9" t="s">
        <v>145</v>
      </c>
      <c r="J9">
        <v>120</v>
      </c>
      <c r="K9">
        <v>12</v>
      </c>
    </row>
    <row r="10" spans="1:11" x14ac:dyDescent="0.35">
      <c r="A10" s="21" t="s">
        <v>838</v>
      </c>
      <c r="B10" s="21" t="s">
        <v>799</v>
      </c>
      <c r="C10" s="21" t="s">
        <v>813</v>
      </c>
      <c r="D10" s="15" t="s">
        <v>851</v>
      </c>
      <c r="E10" s="26">
        <v>1</v>
      </c>
      <c r="F10" s="26">
        <v>20</v>
      </c>
      <c r="G10" t="s">
        <v>245</v>
      </c>
      <c r="I10" t="s">
        <v>155</v>
      </c>
      <c r="J10">
        <v>120</v>
      </c>
      <c r="K10">
        <v>12</v>
      </c>
    </row>
    <row r="11" spans="1:11" x14ac:dyDescent="0.35">
      <c r="A11" s="21" t="s">
        <v>838</v>
      </c>
      <c r="B11" s="21" t="s">
        <v>799</v>
      </c>
      <c r="C11" s="21" t="s">
        <v>813</v>
      </c>
      <c r="D11" s="15" t="s">
        <v>375</v>
      </c>
      <c r="E11" s="26">
        <v>3</v>
      </c>
      <c r="F11" s="26">
        <v>5</v>
      </c>
      <c r="G11" t="s">
        <v>245</v>
      </c>
      <c r="I11" t="s">
        <v>776</v>
      </c>
      <c r="J11">
        <v>90</v>
      </c>
      <c r="K11">
        <v>9</v>
      </c>
    </row>
    <row r="12" spans="1:11" x14ac:dyDescent="0.35">
      <c r="A12" s="21" t="s">
        <v>838</v>
      </c>
      <c r="B12" s="21" t="s">
        <v>814</v>
      </c>
      <c r="C12" s="21" t="s">
        <v>815</v>
      </c>
      <c r="D12" s="15" t="s">
        <v>843</v>
      </c>
      <c r="E12" s="26">
        <v>1</v>
      </c>
      <c r="F12" s="26">
        <v>1</v>
      </c>
      <c r="G12" t="s">
        <v>245</v>
      </c>
      <c r="I12" t="s">
        <v>774</v>
      </c>
      <c r="J12">
        <v>120</v>
      </c>
      <c r="K12">
        <v>12</v>
      </c>
    </row>
    <row r="13" spans="1:11" x14ac:dyDescent="0.35">
      <c r="A13" s="21" t="s">
        <v>838</v>
      </c>
      <c r="B13" s="21" t="s">
        <v>376</v>
      </c>
      <c r="C13" s="21" t="s">
        <v>580</v>
      </c>
      <c r="D13" s="15" t="s">
        <v>781</v>
      </c>
      <c r="E13" s="26">
        <v>1</v>
      </c>
      <c r="F13" s="26">
        <v>1</v>
      </c>
      <c r="G13" t="s">
        <v>247</v>
      </c>
      <c r="I13" t="s">
        <v>129</v>
      </c>
      <c r="J13">
        <v>120</v>
      </c>
      <c r="K13">
        <v>12</v>
      </c>
    </row>
    <row r="14" spans="1:11" x14ac:dyDescent="0.35">
      <c r="A14" s="21" t="s">
        <v>838</v>
      </c>
      <c r="B14" s="21" t="s">
        <v>376</v>
      </c>
      <c r="C14" t="s">
        <v>580</v>
      </c>
      <c r="D14" s="15" t="s">
        <v>369</v>
      </c>
      <c r="E14" s="26">
        <v>2</v>
      </c>
      <c r="F14" s="26">
        <v>2</v>
      </c>
      <c r="G14" t="s">
        <v>247</v>
      </c>
      <c r="I14" t="s">
        <v>456</v>
      </c>
      <c r="J14">
        <v>30</v>
      </c>
      <c r="K14">
        <v>3</v>
      </c>
    </row>
    <row r="15" spans="1:11" x14ac:dyDescent="0.35">
      <c r="A15" s="21" t="s">
        <v>838</v>
      </c>
      <c r="B15" s="21" t="s">
        <v>376</v>
      </c>
      <c r="C15" s="21" t="s">
        <v>580</v>
      </c>
      <c r="D15" s="15" t="s">
        <v>370</v>
      </c>
      <c r="E15" s="26">
        <v>1</v>
      </c>
      <c r="F15" s="26">
        <v>2</v>
      </c>
      <c r="G15" t="s">
        <v>247</v>
      </c>
      <c r="I15" t="s">
        <v>45</v>
      </c>
      <c r="J15">
        <v>1680</v>
      </c>
      <c r="K15">
        <v>168</v>
      </c>
    </row>
    <row r="16" spans="1:11" x14ac:dyDescent="0.35">
      <c r="A16" s="21" t="s">
        <v>838</v>
      </c>
      <c r="B16" s="21" t="s">
        <v>376</v>
      </c>
      <c r="C16" s="21" t="s">
        <v>580</v>
      </c>
      <c r="D16" s="15" t="s">
        <v>846</v>
      </c>
      <c r="E16" s="26">
        <v>1</v>
      </c>
      <c r="F16" s="26">
        <v>1</v>
      </c>
      <c r="G16" t="s">
        <v>247</v>
      </c>
    </row>
    <row r="17" spans="1:7" x14ac:dyDescent="0.35">
      <c r="A17" s="21" t="s">
        <v>838</v>
      </c>
      <c r="B17" s="21" t="s">
        <v>376</v>
      </c>
      <c r="C17" s="21" t="s">
        <v>580</v>
      </c>
      <c r="D17" s="15" t="s">
        <v>850</v>
      </c>
      <c r="E17" s="26">
        <v>1</v>
      </c>
      <c r="F17" s="26">
        <v>1</v>
      </c>
      <c r="G17" t="s">
        <v>247</v>
      </c>
    </row>
    <row r="18" spans="1:7" x14ac:dyDescent="0.35">
      <c r="A18" s="21" t="s">
        <v>838</v>
      </c>
      <c r="B18" s="21" t="s">
        <v>376</v>
      </c>
      <c r="C18" s="21" t="s">
        <v>580</v>
      </c>
      <c r="D18" s="15" t="s">
        <v>852</v>
      </c>
      <c r="E18" s="26">
        <v>2</v>
      </c>
      <c r="F18" s="26">
        <v>2</v>
      </c>
      <c r="G18" t="s">
        <v>247</v>
      </c>
    </row>
    <row r="19" spans="1:7" x14ac:dyDescent="0.35">
      <c r="A19" s="21" t="s">
        <v>838</v>
      </c>
      <c r="B19" s="21" t="s">
        <v>376</v>
      </c>
      <c r="C19" s="21" t="s">
        <v>580</v>
      </c>
      <c r="D19" s="15" t="s">
        <v>853</v>
      </c>
      <c r="E19" s="26">
        <v>1</v>
      </c>
      <c r="F19" s="26">
        <v>3</v>
      </c>
      <c r="G19" t="s">
        <v>247</v>
      </c>
    </row>
    <row r="20" spans="1:7" x14ac:dyDescent="0.35">
      <c r="A20" s="21" t="s">
        <v>838</v>
      </c>
      <c r="B20" s="21" t="s">
        <v>376</v>
      </c>
      <c r="C20" s="21" t="s">
        <v>580</v>
      </c>
      <c r="D20" s="15" t="s">
        <v>854</v>
      </c>
      <c r="E20" s="26">
        <v>1</v>
      </c>
      <c r="F20" s="26">
        <v>2</v>
      </c>
      <c r="G20" t="s">
        <v>247</v>
      </c>
    </row>
    <row r="21" spans="1:7" x14ac:dyDescent="0.35">
      <c r="A21" s="21" t="s">
        <v>838</v>
      </c>
      <c r="B21" s="21" t="s">
        <v>376</v>
      </c>
      <c r="C21" s="21" t="s">
        <v>580</v>
      </c>
      <c r="D21" s="15" t="s">
        <v>855</v>
      </c>
      <c r="E21" s="26">
        <v>1</v>
      </c>
      <c r="F21" s="26">
        <v>3</v>
      </c>
      <c r="G21" t="s">
        <v>247</v>
      </c>
    </row>
    <row r="22" spans="1:7" x14ac:dyDescent="0.35">
      <c r="A22" s="21" t="s">
        <v>838</v>
      </c>
      <c r="B22" s="21" t="s">
        <v>376</v>
      </c>
      <c r="C22" s="21" t="s">
        <v>580</v>
      </c>
      <c r="D22" s="15" t="s">
        <v>857</v>
      </c>
      <c r="E22" s="26">
        <v>2</v>
      </c>
      <c r="F22" s="26">
        <v>2</v>
      </c>
      <c r="G22" t="s">
        <v>247</v>
      </c>
    </row>
    <row r="23" spans="1:7" x14ac:dyDescent="0.35">
      <c r="A23" s="21" t="s">
        <v>838</v>
      </c>
      <c r="B23" s="21" t="s">
        <v>376</v>
      </c>
      <c r="C23" s="21" t="s">
        <v>580</v>
      </c>
      <c r="D23" s="15" t="s">
        <v>372</v>
      </c>
      <c r="E23" s="26">
        <v>4</v>
      </c>
      <c r="F23" s="26">
        <v>4</v>
      </c>
      <c r="G23" t="s">
        <v>247</v>
      </c>
    </row>
    <row r="24" spans="1:7" x14ac:dyDescent="0.35">
      <c r="A24" s="21" t="s">
        <v>838</v>
      </c>
      <c r="B24" s="21" t="s">
        <v>797</v>
      </c>
      <c r="C24" s="21" t="s">
        <v>798</v>
      </c>
      <c r="D24" s="15" t="s">
        <v>861</v>
      </c>
      <c r="E24" s="26">
        <v>1</v>
      </c>
      <c r="F24" s="26">
        <v>3</v>
      </c>
      <c r="G24" t="s">
        <v>247</v>
      </c>
    </row>
    <row r="25" spans="1:7" x14ac:dyDescent="0.35">
      <c r="A25" s="21" t="s">
        <v>838</v>
      </c>
      <c r="B25" s="21" t="s">
        <v>797</v>
      </c>
      <c r="C25" s="21" t="s">
        <v>798</v>
      </c>
      <c r="D25" s="15" t="s">
        <v>862</v>
      </c>
      <c r="E25" s="26">
        <v>1</v>
      </c>
      <c r="F25" s="26">
        <v>10</v>
      </c>
      <c r="G25" t="s">
        <v>247</v>
      </c>
    </row>
    <row r="26" spans="1:7" x14ac:dyDescent="0.35">
      <c r="A26" s="21" t="s">
        <v>838</v>
      </c>
      <c r="B26" s="21" t="s">
        <v>133</v>
      </c>
      <c r="C26" t="s">
        <v>623</v>
      </c>
      <c r="D26" s="15" t="s">
        <v>371</v>
      </c>
      <c r="E26" s="26">
        <v>1</v>
      </c>
      <c r="F26" s="26">
        <v>8</v>
      </c>
      <c r="G26" t="s">
        <v>247</v>
      </c>
    </row>
    <row r="27" spans="1:7" x14ac:dyDescent="0.35">
      <c r="A27" s="21" t="s">
        <v>838</v>
      </c>
      <c r="B27" s="21" t="s">
        <v>799</v>
      </c>
      <c r="C27" t="s">
        <v>813</v>
      </c>
      <c r="D27" s="15" t="s">
        <v>851</v>
      </c>
      <c r="E27" s="26">
        <v>1</v>
      </c>
      <c r="F27" s="26">
        <v>7</v>
      </c>
      <c r="G27" t="s">
        <v>247</v>
      </c>
    </row>
    <row r="28" spans="1:7" x14ac:dyDescent="0.35">
      <c r="A28" s="21" t="s">
        <v>838</v>
      </c>
      <c r="B28" s="21" t="s">
        <v>799</v>
      </c>
      <c r="C28" s="21" t="s">
        <v>813</v>
      </c>
      <c r="D28" s="15" t="s">
        <v>375</v>
      </c>
      <c r="E28" s="26">
        <v>2</v>
      </c>
      <c r="F28" s="26">
        <v>25</v>
      </c>
      <c r="G28" t="s">
        <v>247</v>
      </c>
    </row>
    <row r="29" spans="1:7" x14ac:dyDescent="0.35">
      <c r="A29" s="21" t="s">
        <v>838</v>
      </c>
      <c r="B29" s="21" t="s">
        <v>814</v>
      </c>
      <c r="C29" s="21" t="s">
        <v>815</v>
      </c>
      <c r="D29" s="15" t="s">
        <v>781</v>
      </c>
      <c r="E29" s="26">
        <v>1</v>
      </c>
      <c r="F29" s="26">
        <v>1</v>
      </c>
      <c r="G29" t="s">
        <v>247</v>
      </c>
    </row>
    <row r="30" spans="1:7" x14ac:dyDescent="0.35">
      <c r="A30" s="21" t="s">
        <v>838</v>
      </c>
      <c r="B30" s="21" t="s">
        <v>814</v>
      </c>
      <c r="C30" s="21" t="s">
        <v>815</v>
      </c>
      <c r="D30" s="15" t="s">
        <v>842</v>
      </c>
      <c r="E30" s="26">
        <v>1</v>
      </c>
      <c r="F30" s="26">
        <v>2</v>
      </c>
      <c r="G30" t="s">
        <v>247</v>
      </c>
    </row>
    <row r="31" spans="1:7" x14ac:dyDescent="0.35">
      <c r="A31" s="21" t="s">
        <v>838</v>
      </c>
      <c r="B31" s="21" t="s">
        <v>814</v>
      </c>
      <c r="C31" s="21" t="s">
        <v>815</v>
      </c>
      <c r="D31" s="15" t="s">
        <v>369</v>
      </c>
      <c r="E31" s="26">
        <v>1</v>
      </c>
      <c r="F31" s="26">
        <v>2</v>
      </c>
      <c r="G31" t="s">
        <v>247</v>
      </c>
    </row>
    <row r="32" spans="1:7" x14ac:dyDescent="0.35">
      <c r="A32" s="21" t="s">
        <v>838</v>
      </c>
      <c r="B32" s="21" t="s">
        <v>814</v>
      </c>
      <c r="C32" s="21" t="s">
        <v>815</v>
      </c>
      <c r="D32" s="15" t="s">
        <v>782</v>
      </c>
      <c r="E32" s="26">
        <v>1</v>
      </c>
      <c r="F32" s="26">
        <v>1</v>
      </c>
      <c r="G32" t="s">
        <v>247</v>
      </c>
    </row>
    <row r="33" spans="1:7" x14ac:dyDescent="0.35">
      <c r="A33" s="21" t="s">
        <v>838</v>
      </c>
      <c r="B33" s="21" t="s">
        <v>814</v>
      </c>
      <c r="C33" s="21" t="s">
        <v>815</v>
      </c>
      <c r="D33" s="15" t="s">
        <v>855</v>
      </c>
      <c r="E33" s="26">
        <v>1</v>
      </c>
      <c r="F33" s="26">
        <v>2</v>
      </c>
      <c r="G33" t="s">
        <v>247</v>
      </c>
    </row>
    <row r="34" spans="1:7" x14ac:dyDescent="0.35">
      <c r="A34" s="21" t="s">
        <v>838</v>
      </c>
      <c r="B34" s="21" t="s">
        <v>814</v>
      </c>
      <c r="C34" s="21" t="s">
        <v>815</v>
      </c>
      <c r="D34" s="15" t="s">
        <v>858</v>
      </c>
      <c r="E34" s="26">
        <v>1</v>
      </c>
      <c r="F34" s="26">
        <v>5</v>
      </c>
      <c r="G34" t="s">
        <v>247</v>
      </c>
    </row>
    <row r="35" spans="1:7" x14ac:dyDescent="0.35">
      <c r="A35" s="21" t="s">
        <v>838</v>
      </c>
      <c r="B35" s="21" t="s">
        <v>814</v>
      </c>
      <c r="C35" s="21" t="s">
        <v>815</v>
      </c>
      <c r="D35" s="15" t="s">
        <v>859</v>
      </c>
      <c r="E35" s="26">
        <v>1</v>
      </c>
      <c r="F35" s="26">
        <v>3</v>
      </c>
      <c r="G35" t="s">
        <v>247</v>
      </c>
    </row>
    <row r="36" spans="1:7" x14ac:dyDescent="0.35">
      <c r="A36" s="21" t="s">
        <v>838</v>
      </c>
      <c r="B36" s="21" t="s">
        <v>131</v>
      </c>
      <c r="C36" s="21" t="s">
        <v>423</v>
      </c>
      <c r="D36" s="15" t="s">
        <v>373</v>
      </c>
      <c r="E36" s="26">
        <v>2</v>
      </c>
      <c r="F36" s="26">
        <v>5</v>
      </c>
      <c r="G36" t="s">
        <v>247</v>
      </c>
    </row>
    <row r="37" spans="1:7" x14ac:dyDescent="0.35">
      <c r="A37" s="21" t="s">
        <v>838</v>
      </c>
      <c r="B37" s="21" t="s">
        <v>131</v>
      </c>
      <c r="C37" s="21" t="s">
        <v>423</v>
      </c>
      <c r="D37" s="15" t="s">
        <v>847</v>
      </c>
      <c r="E37" s="26">
        <v>1</v>
      </c>
      <c r="F37" s="26">
        <v>3</v>
      </c>
      <c r="G37" t="s">
        <v>247</v>
      </c>
    </row>
    <row r="38" spans="1:7" x14ac:dyDescent="0.35">
      <c r="A38" s="21" t="s">
        <v>838</v>
      </c>
      <c r="B38" s="21" t="s">
        <v>376</v>
      </c>
      <c r="C38" s="21" t="s">
        <v>580</v>
      </c>
      <c r="D38" s="15" t="s">
        <v>845</v>
      </c>
      <c r="E38" s="26">
        <v>1</v>
      </c>
      <c r="F38" s="26">
        <v>1</v>
      </c>
      <c r="G38" t="s">
        <v>248</v>
      </c>
    </row>
    <row r="39" spans="1:7" x14ac:dyDescent="0.35">
      <c r="A39" s="21" t="s">
        <v>838</v>
      </c>
      <c r="B39" s="21" t="s">
        <v>376</v>
      </c>
      <c r="C39" s="21" t="s">
        <v>580</v>
      </c>
      <c r="D39" s="15" t="s">
        <v>848</v>
      </c>
      <c r="E39" s="26">
        <v>1</v>
      </c>
      <c r="F39" s="26">
        <v>1</v>
      </c>
      <c r="G39" t="s">
        <v>248</v>
      </c>
    </row>
    <row r="40" spans="1:7" x14ac:dyDescent="0.35">
      <c r="A40" s="21" t="s">
        <v>838</v>
      </c>
      <c r="B40" s="21" t="s">
        <v>376</v>
      </c>
      <c r="C40" s="21" t="s">
        <v>580</v>
      </c>
      <c r="D40" s="15" t="s">
        <v>855</v>
      </c>
      <c r="E40" s="26">
        <v>1</v>
      </c>
      <c r="F40" s="26">
        <v>1</v>
      </c>
      <c r="G40" t="s">
        <v>248</v>
      </c>
    </row>
    <row r="41" spans="1:7" x14ac:dyDescent="0.35">
      <c r="A41" s="21" t="s">
        <v>838</v>
      </c>
      <c r="B41" s="21" t="s">
        <v>376</v>
      </c>
      <c r="C41" s="21" t="s">
        <v>580</v>
      </c>
      <c r="D41" s="15" t="s">
        <v>857</v>
      </c>
      <c r="E41" s="26">
        <v>1</v>
      </c>
      <c r="F41" s="26">
        <v>1</v>
      </c>
      <c r="G41" t="s">
        <v>248</v>
      </c>
    </row>
    <row r="42" spans="1:7" x14ac:dyDescent="0.35">
      <c r="A42" s="21" t="s">
        <v>838</v>
      </c>
      <c r="B42" s="21" t="s">
        <v>376</v>
      </c>
      <c r="C42" s="21" t="s">
        <v>580</v>
      </c>
      <c r="D42" s="15" t="s">
        <v>858</v>
      </c>
      <c r="E42" s="26">
        <v>1</v>
      </c>
      <c r="F42" s="26">
        <v>1</v>
      </c>
      <c r="G42" t="s">
        <v>248</v>
      </c>
    </row>
    <row r="43" spans="1:7" x14ac:dyDescent="0.35">
      <c r="A43" s="21" t="s">
        <v>838</v>
      </c>
      <c r="B43" s="21" t="s">
        <v>133</v>
      </c>
      <c r="C43" s="21" t="s">
        <v>623</v>
      </c>
      <c r="D43" s="15" t="s">
        <v>373</v>
      </c>
      <c r="E43" s="26">
        <v>2</v>
      </c>
      <c r="F43" s="26">
        <v>23</v>
      </c>
      <c r="G43" t="s">
        <v>248</v>
      </c>
    </row>
    <row r="44" spans="1:7" x14ac:dyDescent="0.35">
      <c r="A44" s="21" t="s">
        <v>838</v>
      </c>
      <c r="B44" s="21" t="s">
        <v>799</v>
      </c>
      <c r="C44" s="21" t="s">
        <v>813</v>
      </c>
      <c r="D44" s="15" t="s">
        <v>375</v>
      </c>
      <c r="E44" s="26">
        <v>1</v>
      </c>
      <c r="F44" s="26">
        <v>3</v>
      </c>
      <c r="G44" t="s">
        <v>248</v>
      </c>
    </row>
    <row r="45" spans="1:7" x14ac:dyDescent="0.35">
      <c r="A45" s="21" t="s">
        <v>838</v>
      </c>
      <c r="B45" s="21" t="s">
        <v>814</v>
      </c>
      <c r="C45" s="21" t="s">
        <v>815</v>
      </c>
      <c r="D45" s="15" t="s">
        <v>863</v>
      </c>
      <c r="E45" s="26">
        <v>1</v>
      </c>
      <c r="F45" s="26">
        <v>1</v>
      </c>
      <c r="G45" t="s">
        <v>248</v>
      </c>
    </row>
    <row r="46" spans="1:7" x14ac:dyDescent="0.35">
      <c r="A46" s="21" t="s">
        <v>838</v>
      </c>
      <c r="B46" s="21" t="s">
        <v>814</v>
      </c>
      <c r="C46" s="21" t="s">
        <v>815</v>
      </c>
      <c r="D46" s="15" t="s">
        <v>781</v>
      </c>
      <c r="E46" s="26">
        <v>1</v>
      </c>
      <c r="F46" s="26">
        <v>2</v>
      </c>
      <c r="G46" t="s">
        <v>248</v>
      </c>
    </row>
    <row r="47" spans="1:7" x14ac:dyDescent="0.35">
      <c r="A47" s="21" t="s">
        <v>838</v>
      </c>
      <c r="B47" s="21" t="s">
        <v>814</v>
      </c>
      <c r="C47" s="21" t="s">
        <v>815</v>
      </c>
      <c r="D47" s="15" t="s">
        <v>369</v>
      </c>
      <c r="E47" s="26">
        <v>3</v>
      </c>
      <c r="F47" s="26">
        <v>16</v>
      </c>
      <c r="G47" t="s">
        <v>248</v>
      </c>
    </row>
    <row r="48" spans="1:7" x14ac:dyDescent="0.35">
      <c r="A48" s="21" t="s">
        <v>838</v>
      </c>
      <c r="B48" s="21" t="s">
        <v>814</v>
      </c>
      <c r="C48" s="21" t="s">
        <v>815</v>
      </c>
      <c r="D48" s="15" t="s">
        <v>782</v>
      </c>
      <c r="E48" s="26">
        <v>2</v>
      </c>
      <c r="F48" s="26">
        <v>10</v>
      </c>
      <c r="G48" t="s">
        <v>248</v>
      </c>
    </row>
    <row r="49" spans="1:7" x14ac:dyDescent="0.35">
      <c r="A49" s="21" t="s">
        <v>838</v>
      </c>
      <c r="B49" s="21" t="s">
        <v>814</v>
      </c>
      <c r="C49" s="21" t="s">
        <v>815</v>
      </c>
      <c r="D49" s="15" t="s">
        <v>852</v>
      </c>
      <c r="E49" s="26">
        <v>2</v>
      </c>
      <c r="F49" s="26">
        <v>8</v>
      </c>
      <c r="G49" t="s">
        <v>248</v>
      </c>
    </row>
    <row r="50" spans="1:7" x14ac:dyDescent="0.35">
      <c r="A50" s="21" t="s">
        <v>838</v>
      </c>
      <c r="B50" s="21" t="s">
        <v>814</v>
      </c>
      <c r="C50" s="21" t="s">
        <v>815</v>
      </c>
      <c r="D50" s="15" t="s">
        <v>860</v>
      </c>
      <c r="E50" s="26">
        <v>1</v>
      </c>
      <c r="F50" s="26">
        <v>2</v>
      </c>
      <c r="G50" t="s">
        <v>248</v>
      </c>
    </row>
    <row r="51" spans="1:7" x14ac:dyDescent="0.35">
      <c r="A51" s="21" t="s">
        <v>838</v>
      </c>
      <c r="B51" s="21" t="s">
        <v>131</v>
      </c>
      <c r="C51" s="21" t="s">
        <v>423</v>
      </c>
      <c r="D51" s="15" t="s">
        <v>373</v>
      </c>
      <c r="E51" s="26">
        <v>2</v>
      </c>
      <c r="F51" s="26">
        <v>15</v>
      </c>
      <c r="G51" t="s">
        <v>248</v>
      </c>
    </row>
    <row r="52" spans="1:7" x14ac:dyDescent="0.35">
      <c r="A52" s="21" t="s">
        <v>838</v>
      </c>
      <c r="B52" s="21" t="s">
        <v>131</v>
      </c>
      <c r="C52" s="21" t="s">
        <v>423</v>
      </c>
      <c r="D52" s="15" t="s">
        <v>849</v>
      </c>
      <c r="E52" s="26">
        <v>1</v>
      </c>
      <c r="F52" s="26">
        <v>2</v>
      </c>
      <c r="G52" t="s">
        <v>248</v>
      </c>
    </row>
    <row r="53" spans="1:7" x14ac:dyDescent="0.35">
      <c r="A53" s="21"/>
      <c r="B53" s="21"/>
      <c r="C53" s="21"/>
      <c r="D53" s="15"/>
      <c r="E53" s="26"/>
      <c r="F53" s="26"/>
    </row>
    <row r="54" spans="1:7" x14ac:dyDescent="0.35">
      <c r="A54" s="21"/>
      <c r="B54" s="21"/>
      <c r="C54" s="21"/>
      <c r="D54" s="15"/>
      <c r="E54" s="26"/>
      <c r="F54" s="26"/>
    </row>
    <row r="55" spans="1:7" x14ac:dyDescent="0.35">
      <c r="A55" s="21"/>
      <c r="B55" s="21"/>
      <c r="C55" s="21"/>
      <c r="D55" s="15"/>
      <c r="E55" s="26"/>
      <c r="F55" s="26"/>
    </row>
    <row r="56" spans="1:7" x14ac:dyDescent="0.35">
      <c r="A56" s="21"/>
      <c r="B56" s="21"/>
      <c r="C56" s="21"/>
      <c r="D56" s="15"/>
      <c r="E56" s="26"/>
      <c r="F56" s="26"/>
    </row>
    <row r="57" spans="1:7" x14ac:dyDescent="0.35">
      <c r="A57" s="21"/>
      <c r="B57" s="21"/>
      <c r="C57" s="21"/>
      <c r="D57" s="15"/>
      <c r="E57" s="26"/>
      <c r="F57" s="26"/>
    </row>
  </sheetData>
  <dataValidations count="2">
    <dataValidation type="list" allowBlank="1" showInputMessage="1" showErrorMessage="1" sqref="I24" xr:uid="{FE6F46B9-72CA-47C8-9188-FE13F5E500D8}">
      <formula1>$O$2:$O$94</formula1>
    </dataValidation>
    <dataValidation type="list" allowBlank="1" showInputMessage="1" showErrorMessage="1" sqref="I20" xr:uid="{B1920C86-0ABB-4914-A4FE-280E7E6C4E68}">
      <formula1>$P$2:$P$17</formula1>
    </dataValidation>
  </dataValidation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tabColor rgb="FFFFFF00"/>
  </sheetPr>
  <dimension ref="A1:F179"/>
  <sheetViews>
    <sheetView workbookViewId="0"/>
  </sheetViews>
  <sheetFormatPr baseColWidth="10" defaultRowHeight="14.5" x14ac:dyDescent="0.35"/>
  <cols>
    <col min="1" max="1" width="29.81640625" bestFit="1" customWidth="1"/>
    <col min="2" max="2" width="38" bestFit="1" customWidth="1"/>
    <col min="5" max="5" width="38" bestFit="1" customWidth="1"/>
  </cols>
  <sheetData>
    <row r="1" spans="1:6" x14ac:dyDescent="0.35">
      <c r="A1" s="46" t="s">
        <v>109</v>
      </c>
      <c r="B1" s="46" t="s">
        <v>111</v>
      </c>
      <c r="C1" s="46" t="s">
        <v>121</v>
      </c>
      <c r="D1" s="46" t="s">
        <v>224</v>
      </c>
      <c r="E1" s="50" t="s">
        <v>701</v>
      </c>
      <c r="F1" s="50" t="s">
        <v>700</v>
      </c>
    </row>
    <row r="2" spans="1:6" x14ac:dyDescent="0.35">
      <c r="A2" s="47" t="s">
        <v>31</v>
      </c>
      <c r="B2" s="47" t="s">
        <v>32</v>
      </c>
      <c r="C2" t="s">
        <v>652</v>
      </c>
      <c r="D2">
        <v>6</v>
      </c>
      <c r="E2" s="47" t="s">
        <v>32</v>
      </c>
    </row>
    <row r="3" spans="1:6" x14ac:dyDescent="0.35">
      <c r="A3" s="47" t="s">
        <v>31</v>
      </c>
      <c r="B3" s="47" t="s">
        <v>32</v>
      </c>
      <c r="C3" t="s">
        <v>696</v>
      </c>
      <c r="D3">
        <v>6</v>
      </c>
      <c r="E3" s="47" t="s">
        <v>32</v>
      </c>
    </row>
    <row r="4" spans="1:6" x14ac:dyDescent="0.35">
      <c r="A4" s="47" t="s">
        <v>31</v>
      </c>
      <c r="B4" s="47" t="s">
        <v>32</v>
      </c>
      <c r="C4" t="s">
        <v>521</v>
      </c>
      <c r="D4">
        <v>8</v>
      </c>
      <c r="E4" s="47" t="s">
        <v>32</v>
      </c>
    </row>
    <row r="5" spans="1:6" x14ac:dyDescent="0.35">
      <c r="A5" s="48" t="s">
        <v>31</v>
      </c>
      <c r="B5" s="47" t="s">
        <v>32</v>
      </c>
      <c r="C5" t="s">
        <v>639</v>
      </c>
      <c r="D5">
        <v>1</v>
      </c>
      <c r="E5" s="47" t="s">
        <v>32</v>
      </c>
    </row>
    <row r="6" spans="1:6" x14ac:dyDescent="0.35">
      <c r="A6" s="47" t="s">
        <v>33</v>
      </c>
      <c r="B6" s="47" t="s">
        <v>249</v>
      </c>
      <c r="C6" t="s">
        <v>677</v>
      </c>
      <c r="D6">
        <v>4</v>
      </c>
      <c r="E6" s="47" t="s">
        <v>249</v>
      </c>
      <c r="F6">
        <v>160</v>
      </c>
    </row>
    <row r="7" spans="1:6" x14ac:dyDescent="0.35">
      <c r="A7" s="47" t="s">
        <v>33</v>
      </c>
      <c r="B7" s="47" t="s">
        <v>249</v>
      </c>
      <c r="C7" t="s">
        <v>676</v>
      </c>
      <c r="D7">
        <v>3</v>
      </c>
      <c r="E7" s="47" t="s">
        <v>249</v>
      </c>
      <c r="F7">
        <v>160</v>
      </c>
    </row>
    <row r="8" spans="1:6" x14ac:dyDescent="0.35">
      <c r="A8" s="47" t="s">
        <v>33</v>
      </c>
      <c r="B8" s="47" t="s">
        <v>249</v>
      </c>
      <c r="C8" t="s">
        <v>164</v>
      </c>
      <c r="D8">
        <v>8</v>
      </c>
      <c r="E8" s="47" t="s">
        <v>249</v>
      </c>
      <c r="F8">
        <v>160</v>
      </c>
    </row>
    <row r="9" spans="1:6" x14ac:dyDescent="0.35">
      <c r="A9" s="47" t="s">
        <v>33</v>
      </c>
      <c r="B9" s="47" t="s">
        <v>249</v>
      </c>
      <c r="C9" t="s">
        <v>141</v>
      </c>
      <c r="D9">
        <v>24</v>
      </c>
      <c r="E9" s="47" t="s">
        <v>249</v>
      </c>
      <c r="F9">
        <v>160</v>
      </c>
    </row>
    <row r="10" spans="1:6" x14ac:dyDescent="0.35">
      <c r="A10" s="47" t="s">
        <v>33</v>
      </c>
      <c r="B10" s="47" t="s">
        <v>249</v>
      </c>
      <c r="C10" t="s">
        <v>669</v>
      </c>
      <c r="D10">
        <v>6</v>
      </c>
      <c r="E10" s="47" t="s">
        <v>249</v>
      </c>
      <c r="F10">
        <v>160</v>
      </c>
    </row>
    <row r="11" spans="1:6" x14ac:dyDescent="0.35">
      <c r="A11" s="47" t="s">
        <v>33</v>
      </c>
      <c r="B11" s="47" t="s">
        <v>249</v>
      </c>
      <c r="C11" t="s">
        <v>381</v>
      </c>
      <c r="D11">
        <v>20</v>
      </c>
      <c r="E11" s="47" t="s">
        <v>249</v>
      </c>
      <c r="F11">
        <v>160</v>
      </c>
    </row>
    <row r="12" spans="1:6" x14ac:dyDescent="0.35">
      <c r="A12" s="47" t="s">
        <v>33</v>
      </c>
      <c r="B12" s="47" t="s">
        <v>34</v>
      </c>
      <c r="C12" t="s">
        <v>690</v>
      </c>
      <c r="D12">
        <v>1</v>
      </c>
      <c r="E12" s="47" t="s">
        <v>34</v>
      </c>
    </row>
    <row r="13" spans="1:6" x14ac:dyDescent="0.35">
      <c r="A13" s="47" t="s">
        <v>33</v>
      </c>
      <c r="B13" s="47" t="s">
        <v>34</v>
      </c>
      <c r="C13" t="s">
        <v>316</v>
      </c>
      <c r="D13">
        <v>1</v>
      </c>
      <c r="E13" s="47" t="s">
        <v>34</v>
      </c>
    </row>
    <row r="14" spans="1:6" x14ac:dyDescent="0.35">
      <c r="A14" s="47" t="s">
        <v>33</v>
      </c>
      <c r="B14" s="47" t="s">
        <v>34</v>
      </c>
      <c r="C14" t="s">
        <v>677</v>
      </c>
      <c r="D14">
        <v>6</v>
      </c>
      <c r="E14" s="47" t="s">
        <v>34</v>
      </c>
    </row>
    <row r="15" spans="1:6" x14ac:dyDescent="0.35">
      <c r="A15" s="47" t="s">
        <v>33</v>
      </c>
      <c r="B15" s="47" t="s">
        <v>34</v>
      </c>
      <c r="C15" t="s">
        <v>676</v>
      </c>
      <c r="D15">
        <v>8</v>
      </c>
      <c r="E15" s="47" t="s">
        <v>34</v>
      </c>
    </row>
    <row r="16" spans="1:6" x14ac:dyDescent="0.35">
      <c r="A16" s="47" t="s">
        <v>33</v>
      </c>
      <c r="B16" s="47" t="s">
        <v>34</v>
      </c>
      <c r="C16" t="s">
        <v>662</v>
      </c>
      <c r="D16">
        <v>1</v>
      </c>
      <c r="E16" s="47" t="s">
        <v>34</v>
      </c>
    </row>
    <row r="17" spans="1:5" x14ac:dyDescent="0.35">
      <c r="A17" s="47" t="s">
        <v>33</v>
      </c>
      <c r="B17" s="47" t="s">
        <v>34</v>
      </c>
      <c r="C17" t="s">
        <v>675</v>
      </c>
      <c r="D17">
        <v>3</v>
      </c>
      <c r="E17" s="47" t="s">
        <v>34</v>
      </c>
    </row>
    <row r="18" spans="1:5" x14ac:dyDescent="0.35">
      <c r="A18" s="47" t="s">
        <v>33</v>
      </c>
      <c r="B18" s="47" t="s">
        <v>34</v>
      </c>
      <c r="C18" t="s">
        <v>686</v>
      </c>
      <c r="D18">
        <v>7</v>
      </c>
      <c r="E18" s="47" t="s">
        <v>34</v>
      </c>
    </row>
    <row r="19" spans="1:5" x14ac:dyDescent="0.35">
      <c r="A19" s="47" t="s">
        <v>33</v>
      </c>
      <c r="B19" s="47" t="s">
        <v>34</v>
      </c>
      <c r="C19" t="s">
        <v>164</v>
      </c>
      <c r="D19">
        <v>2</v>
      </c>
      <c r="E19" s="47" t="s">
        <v>34</v>
      </c>
    </row>
    <row r="20" spans="1:5" x14ac:dyDescent="0.35">
      <c r="A20" s="47" t="s">
        <v>33</v>
      </c>
      <c r="B20" s="47" t="s">
        <v>34</v>
      </c>
      <c r="C20" t="s">
        <v>691</v>
      </c>
      <c r="D20">
        <v>2</v>
      </c>
      <c r="E20" s="47" t="s">
        <v>34</v>
      </c>
    </row>
    <row r="21" spans="1:5" x14ac:dyDescent="0.35">
      <c r="A21" s="47" t="s">
        <v>33</v>
      </c>
      <c r="B21" s="47" t="s">
        <v>34</v>
      </c>
      <c r="C21" t="s">
        <v>678</v>
      </c>
      <c r="D21">
        <v>2</v>
      </c>
      <c r="E21" s="47" t="s">
        <v>34</v>
      </c>
    </row>
    <row r="22" spans="1:5" x14ac:dyDescent="0.35">
      <c r="A22" s="47" t="s">
        <v>33</v>
      </c>
      <c r="B22" s="47" t="s">
        <v>34</v>
      </c>
      <c r="C22" t="s">
        <v>680</v>
      </c>
      <c r="D22">
        <v>6</v>
      </c>
      <c r="E22" s="47" t="s">
        <v>34</v>
      </c>
    </row>
    <row r="23" spans="1:5" x14ac:dyDescent="0.35">
      <c r="A23" s="48" t="s">
        <v>33</v>
      </c>
      <c r="B23" s="47" t="s">
        <v>34</v>
      </c>
      <c r="C23" t="s">
        <v>669</v>
      </c>
      <c r="D23">
        <v>6</v>
      </c>
      <c r="E23" s="47" t="s">
        <v>34</v>
      </c>
    </row>
    <row r="24" spans="1:5" x14ac:dyDescent="0.35">
      <c r="A24" s="47" t="s">
        <v>36</v>
      </c>
      <c r="B24" s="47" t="s">
        <v>32</v>
      </c>
      <c r="C24" t="s">
        <v>668</v>
      </c>
      <c r="D24">
        <v>2</v>
      </c>
      <c r="E24" s="47" t="s">
        <v>32</v>
      </c>
    </row>
    <row r="25" spans="1:5" x14ac:dyDescent="0.35">
      <c r="A25" s="47" t="s">
        <v>36</v>
      </c>
      <c r="B25" s="47" t="s">
        <v>32</v>
      </c>
      <c r="C25" t="s">
        <v>396</v>
      </c>
      <c r="D25">
        <v>1</v>
      </c>
      <c r="E25" s="47" t="s">
        <v>32</v>
      </c>
    </row>
    <row r="26" spans="1:5" x14ac:dyDescent="0.35">
      <c r="A26" s="47" t="s">
        <v>36</v>
      </c>
      <c r="B26" s="47" t="s">
        <v>32</v>
      </c>
      <c r="C26" t="s">
        <v>689</v>
      </c>
      <c r="D26">
        <v>1</v>
      </c>
      <c r="E26" s="47" t="s">
        <v>32</v>
      </c>
    </row>
    <row r="27" spans="1:5" x14ac:dyDescent="0.35">
      <c r="A27" s="47" t="s">
        <v>36</v>
      </c>
      <c r="B27" s="47" t="s">
        <v>32</v>
      </c>
      <c r="C27" t="s">
        <v>316</v>
      </c>
      <c r="D27">
        <v>3</v>
      </c>
      <c r="E27" s="47" t="s">
        <v>32</v>
      </c>
    </row>
    <row r="28" spans="1:5" x14ac:dyDescent="0.35">
      <c r="A28" s="47" t="s">
        <v>36</v>
      </c>
      <c r="B28" s="47" t="s">
        <v>32</v>
      </c>
      <c r="C28" t="s">
        <v>641</v>
      </c>
      <c r="D28">
        <v>8</v>
      </c>
      <c r="E28" s="47" t="s">
        <v>32</v>
      </c>
    </row>
    <row r="29" spans="1:5" x14ac:dyDescent="0.35">
      <c r="A29" s="47" t="s">
        <v>36</v>
      </c>
      <c r="B29" s="47" t="s">
        <v>32</v>
      </c>
      <c r="C29" t="s">
        <v>354</v>
      </c>
      <c r="D29">
        <v>24</v>
      </c>
      <c r="E29" s="47" t="s">
        <v>32</v>
      </c>
    </row>
    <row r="30" spans="1:5" x14ac:dyDescent="0.35">
      <c r="A30" s="47" t="s">
        <v>36</v>
      </c>
      <c r="B30" s="47" t="s">
        <v>32</v>
      </c>
      <c r="C30" t="s">
        <v>637</v>
      </c>
      <c r="D30">
        <v>4</v>
      </c>
      <c r="E30" s="47" t="s">
        <v>32</v>
      </c>
    </row>
    <row r="31" spans="1:5" x14ac:dyDescent="0.35">
      <c r="A31" s="47" t="s">
        <v>36</v>
      </c>
      <c r="B31" s="47" t="s">
        <v>32</v>
      </c>
      <c r="C31" t="s">
        <v>694</v>
      </c>
      <c r="D31">
        <v>4</v>
      </c>
      <c r="E31" s="47" t="s">
        <v>32</v>
      </c>
    </row>
    <row r="32" spans="1:5" x14ac:dyDescent="0.35">
      <c r="A32" s="47" t="s">
        <v>36</v>
      </c>
      <c r="B32" s="47" t="s">
        <v>32</v>
      </c>
      <c r="C32" t="s">
        <v>291</v>
      </c>
      <c r="D32">
        <v>8</v>
      </c>
      <c r="E32" s="47" t="s">
        <v>32</v>
      </c>
    </row>
    <row r="33" spans="1:6" x14ac:dyDescent="0.35">
      <c r="A33" s="47" t="s">
        <v>36</v>
      </c>
      <c r="B33" s="47" t="s">
        <v>32</v>
      </c>
      <c r="C33" t="s">
        <v>141</v>
      </c>
      <c r="D33">
        <v>3</v>
      </c>
      <c r="E33" s="47" t="s">
        <v>32</v>
      </c>
    </row>
    <row r="34" spans="1:6" x14ac:dyDescent="0.35">
      <c r="A34" s="47" t="s">
        <v>36</v>
      </c>
      <c r="B34" s="47" t="s">
        <v>32</v>
      </c>
      <c r="C34" t="s">
        <v>693</v>
      </c>
      <c r="D34">
        <v>4</v>
      </c>
      <c r="E34" s="47" t="s">
        <v>32</v>
      </c>
    </row>
    <row r="35" spans="1:6" x14ac:dyDescent="0.35">
      <c r="A35" s="47" t="s">
        <v>36</v>
      </c>
      <c r="B35" s="47" t="s">
        <v>32</v>
      </c>
      <c r="C35" t="s">
        <v>640</v>
      </c>
      <c r="D35">
        <v>36</v>
      </c>
      <c r="E35" s="47" t="s">
        <v>32</v>
      </c>
    </row>
    <row r="36" spans="1:6" x14ac:dyDescent="0.35">
      <c r="A36" s="47" t="s">
        <v>36</v>
      </c>
      <c r="B36" s="47" t="s">
        <v>32</v>
      </c>
      <c r="C36" t="s">
        <v>670</v>
      </c>
      <c r="D36">
        <v>1</v>
      </c>
      <c r="E36" s="47" t="s">
        <v>32</v>
      </c>
    </row>
    <row r="37" spans="1:6" x14ac:dyDescent="0.35">
      <c r="A37" s="47" t="s">
        <v>36</v>
      </c>
      <c r="B37" s="47" t="s">
        <v>32</v>
      </c>
      <c r="C37" t="s">
        <v>442</v>
      </c>
      <c r="D37">
        <v>22</v>
      </c>
      <c r="E37" s="47" t="s">
        <v>32</v>
      </c>
    </row>
    <row r="38" spans="1:6" x14ac:dyDescent="0.35">
      <c r="A38" s="47" t="s">
        <v>36</v>
      </c>
      <c r="B38" s="47" t="s">
        <v>32</v>
      </c>
      <c r="C38" t="s">
        <v>696</v>
      </c>
      <c r="D38">
        <v>2</v>
      </c>
      <c r="E38" s="47" t="s">
        <v>32</v>
      </c>
    </row>
    <row r="39" spans="1:6" x14ac:dyDescent="0.35">
      <c r="A39" s="47" t="s">
        <v>36</v>
      </c>
      <c r="B39" s="47" t="s">
        <v>32</v>
      </c>
      <c r="C39" t="s">
        <v>521</v>
      </c>
      <c r="D39">
        <v>1</v>
      </c>
      <c r="E39" s="47" t="s">
        <v>32</v>
      </c>
    </row>
    <row r="40" spans="1:6" x14ac:dyDescent="0.35">
      <c r="A40" s="47" t="s">
        <v>36</v>
      </c>
      <c r="B40" s="47" t="s">
        <v>32</v>
      </c>
      <c r="C40" t="s">
        <v>639</v>
      </c>
      <c r="D40">
        <v>25</v>
      </c>
      <c r="E40" s="47" t="s">
        <v>32</v>
      </c>
    </row>
    <row r="41" spans="1:6" x14ac:dyDescent="0.35">
      <c r="A41" s="47" t="s">
        <v>36</v>
      </c>
      <c r="B41" s="47" t="s">
        <v>63</v>
      </c>
      <c r="C41" t="s">
        <v>679</v>
      </c>
      <c r="D41">
        <v>2</v>
      </c>
      <c r="E41" s="47" t="s">
        <v>63</v>
      </c>
      <c r="F41">
        <v>209</v>
      </c>
    </row>
    <row r="42" spans="1:6" x14ac:dyDescent="0.35">
      <c r="A42" s="47" t="s">
        <v>36</v>
      </c>
      <c r="B42" s="47" t="s">
        <v>63</v>
      </c>
      <c r="C42" t="s">
        <v>641</v>
      </c>
      <c r="D42">
        <v>2</v>
      </c>
      <c r="E42" s="47" t="s">
        <v>63</v>
      </c>
      <c r="F42">
        <v>209</v>
      </c>
    </row>
    <row r="43" spans="1:6" x14ac:dyDescent="0.35">
      <c r="A43" s="47" t="s">
        <v>36</v>
      </c>
      <c r="B43" s="47" t="s">
        <v>63</v>
      </c>
      <c r="C43" t="s">
        <v>354</v>
      </c>
      <c r="D43">
        <v>6</v>
      </c>
      <c r="E43" s="47" t="s">
        <v>63</v>
      </c>
      <c r="F43">
        <v>209</v>
      </c>
    </row>
    <row r="44" spans="1:6" x14ac:dyDescent="0.35">
      <c r="A44" s="47" t="s">
        <v>36</v>
      </c>
      <c r="B44" s="47" t="s">
        <v>63</v>
      </c>
      <c r="C44" t="s">
        <v>141</v>
      </c>
      <c r="D44">
        <v>2</v>
      </c>
      <c r="E44" s="47" t="s">
        <v>63</v>
      </c>
      <c r="F44">
        <v>209</v>
      </c>
    </row>
    <row r="45" spans="1:6" x14ac:dyDescent="0.35">
      <c r="A45" s="47" t="s">
        <v>36</v>
      </c>
      <c r="B45" s="47" t="s">
        <v>63</v>
      </c>
      <c r="C45" t="s">
        <v>442</v>
      </c>
      <c r="D45">
        <v>19</v>
      </c>
      <c r="E45" s="47" t="s">
        <v>63</v>
      </c>
      <c r="F45">
        <v>209</v>
      </c>
    </row>
    <row r="46" spans="1:6" x14ac:dyDescent="0.35">
      <c r="A46" s="47" t="s">
        <v>36</v>
      </c>
      <c r="B46" s="47" t="s">
        <v>63</v>
      </c>
      <c r="C46" t="s">
        <v>639</v>
      </c>
      <c r="D46">
        <v>6</v>
      </c>
      <c r="E46" s="47" t="s">
        <v>63</v>
      </c>
      <c r="F46">
        <v>209</v>
      </c>
    </row>
    <row r="47" spans="1:6" x14ac:dyDescent="0.35">
      <c r="A47" s="48" t="s">
        <v>36</v>
      </c>
      <c r="B47" s="47" t="s">
        <v>695</v>
      </c>
      <c r="C47" t="s">
        <v>637</v>
      </c>
      <c r="D47">
        <v>1</v>
      </c>
      <c r="E47" s="47" t="s">
        <v>695</v>
      </c>
    </row>
    <row r="48" spans="1:6" x14ac:dyDescent="0.35">
      <c r="A48" s="47" t="s">
        <v>37</v>
      </c>
      <c r="B48" s="47" t="s">
        <v>246</v>
      </c>
      <c r="C48" t="s">
        <v>632</v>
      </c>
      <c r="D48">
        <v>1</v>
      </c>
      <c r="E48" s="47" t="s">
        <v>246</v>
      </c>
    </row>
    <row r="49" spans="1:6" x14ac:dyDescent="0.35">
      <c r="A49" s="47" t="s">
        <v>37</v>
      </c>
      <c r="B49" s="47" t="s">
        <v>38</v>
      </c>
      <c r="C49" t="s">
        <v>632</v>
      </c>
      <c r="D49">
        <v>26</v>
      </c>
      <c r="E49" s="47" t="s">
        <v>38</v>
      </c>
    </row>
    <row r="50" spans="1:6" x14ac:dyDescent="0.35">
      <c r="A50" s="47" t="s">
        <v>37</v>
      </c>
      <c r="B50" s="47" t="s">
        <v>38</v>
      </c>
      <c r="C50" t="s">
        <v>645</v>
      </c>
      <c r="D50">
        <v>1</v>
      </c>
      <c r="E50" s="47" t="s">
        <v>38</v>
      </c>
    </row>
    <row r="51" spans="1:6" x14ac:dyDescent="0.35">
      <c r="A51" s="47" t="s">
        <v>37</v>
      </c>
      <c r="B51" s="47" t="s">
        <v>38</v>
      </c>
      <c r="C51" t="s">
        <v>634</v>
      </c>
      <c r="D51">
        <v>32</v>
      </c>
      <c r="E51" s="47" t="s">
        <v>38</v>
      </c>
    </row>
    <row r="52" spans="1:6" x14ac:dyDescent="0.35">
      <c r="A52" s="47" t="s">
        <v>37</v>
      </c>
      <c r="B52" s="47" t="s">
        <v>38</v>
      </c>
      <c r="C52" t="s">
        <v>673</v>
      </c>
      <c r="D52">
        <v>2</v>
      </c>
      <c r="E52" s="47" t="s">
        <v>38</v>
      </c>
    </row>
    <row r="53" spans="1:6" x14ac:dyDescent="0.35">
      <c r="A53" s="47" t="s">
        <v>37</v>
      </c>
      <c r="B53" s="47" t="s">
        <v>38</v>
      </c>
      <c r="C53" t="s">
        <v>637</v>
      </c>
      <c r="D53">
        <v>1</v>
      </c>
      <c r="E53" s="47" t="s">
        <v>38</v>
      </c>
    </row>
    <row r="54" spans="1:6" x14ac:dyDescent="0.35">
      <c r="A54" s="47" t="s">
        <v>37</v>
      </c>
      <c r="B54" s="47" t="s">
        <v>38</v>
      </c>
      <c r="C54" t="s">
        <v>633</v>
      </c>
      <c r="D54">
        <v>37</v>
      </c>
      <c r="E54" s="47" t="s">
        <v>38</v>
      </c>
    </row>
    <row r="55" spans="1:6" x14ac:dyDescent="0.35">
      <c r="A55" s="47" t="s">
        <v>37</v>
      </c>
      <c r="B55" s="47" t="s">
        <v>38</v>
      </c>
      <c r="C55" t="s">
        <v>134</v>
      </c>
      <c r="D55">
        <v>22</v>
      </c>
      <c r="E55" s="47" t="s">
        <v>38</v>
      </c>
    </row>
    <row r="56" spans="1:6" x14ac:dyDescent="0.35">
      <c r="A56" s="47" t="s">
        <v>37</v>
      </c>
      <c r="B56" s="47" t="s">
        <v>38</v>
      </c>
      <c r="C56" t="s">
        <v>141</v>
      </c>
      <c r="D56">
        <v>55</v>
      </c>
      <c r="E56" s="47" t="s">
        <v>38</v>
      </c>
    </row>
    <row r="57" spans="1:6" x14ac:dyDescent="0.35">
      <c r="A57" s="47" t="s">
        <v>37</v>
      </c>
      <c r="B57" s="47" t="s">
        <v>38</v>
      </c>
      <c r="C57" t="s">
        <v>282</v>
      </c>
      <c r="D57">
        <v>24</v>
      </c>
      <c r="E57" s="47" t="s">
        <v>38</v>
      </c>
    </row>
    <row r="58" spans="1:6" x14ac:dyDescent="0.35">
      <c r="A58" s="47" t="s">
        <v>37</v>
      </c>
      <c r="B58" s="47" t="s">
        <v>38</v>
      </c>
      <c r="C58" t="s">
        <v>381</v>
      </c>
      <c r="D58">
        <v>1</v>
      </c>
      <c r="E58" s="47" t="s">
        <v>38</v>
      </c>
    </row>
    <row r="59" spans="1:6" x14ac:dyDescent="0.35">
      <c r="A59" s="47" t="s">
        <v>37</v>
      </c>
      <c r="B59" s="47" t="s">
        <v>66</v>
      </c>
      <c r="C59" t="s">
        <v>632</v>
      </c>
      <c r="D59">
        <v>5</v>
      </c>
      <c r="E59" s="47" t="s">
        <v>65</v>
      </c>
      <c r="F59">
        <v>33</v>
      </c>
    </row>
    <row r="60" spans="1:6" x14ac:dyDescent="0.35">
      <c r="A60" s="47" t="s">
        <v>37</v>
      </c>
      <c r="B60" s="47" t="s">
        <v>66</v>
      </c>
      <c r="C60" t="s">
        <v>645</v>
      </c>
      <c r="D60">
        <v>1</v>
      </c>
      <c r="E60" s="47" t="s">
        <v>66</v>
      </c>
      <c r="F60">
        <v>241</v>
      </c>
    </row>
    <row r="61" spans="1:6" x14ac:dyDescent="0.35">
      <c r="A61" s="47" t="s">
        <v>37</v>
      </c>
      <c r="B61" s="47" t="s">
        <v>66</v>
      </c>
      <c r="C61" t="s">
        <v>634</v>
      </c>
      <c r="D61">
        <v>19</v>
      </c>
      <c r="E61" s="47" t="s">
        <v>66</v>
      </c>
      <c r="F61">
        <v>241</v>
      </c>
    </row>
    <row r="62" spans="1:6" x14ac:dyDescent="0.35">
      <c r="A62" s="47" t="s">
        <v>37</v>
      </c>
      <c r="B62" s="47" t="s">
        <v>66</v>
      </c>
      <c r="C62" t="s">
        <v>633</v>
      </c>
      <c r="D62">
        <v>13</v>
      </c>
      <c r="E62" s="47" t="s">
        <v>66</v>
      </c>
      <c r="F62">
        <v>241</v>
      </c>
    </row>
    <row r="63" spans="1:6" x14ac:dyDescent="0.35">
      <c r="A63" s="47" t="s">
        <v>37</v>
      </c>
      <c r="B63" s="47" t="s">
        <v>66</v>
      </c>
      <c r="C63" t="s">
        <v>134</v>
      </c>
      <c r="D63">
        <v>19</v>
      </c>
      <c r="E63" s="47" t="s">
        <v>66</v>
      </c>
      <c r="F63">
        <v>241</v>
      </c>
    </row>
    <row r="64" spans="1:6" x14ac:dyDescent="0.35">
      <c r="A64" s="47" t="s">
        <v>37</v>
      </c>
      <c r="B64" s="47" t="s">
        <v>66</v>
      </c>
      <c r="C64" t="s">
        <v>646</v>
      </c>
      <c r="D64">
        <v>4</v>
      </c>
      <c r="E64" s="47" t="s">
        <v>66</v>
      </c>
      <c r="F64">
        <v>241</v>
      </c>
    </row>
    <row r="65" spans="1:6" x14ac:dyDescent="0.35">
      <c r="A65" s="47" t="s">
        <v>37</v>
      </c>
      <c r="B65" s="47" t="s">
        <v>66</v>
      </c>
      <c r="C65" t="s">
        <v>141</v>
      </c>
      <c r="D65">
        <v>10</v>
      </c>
      <c r="E65" s="47" t="s">
        <v>66</v>
      </c>
      <c r="F65">
        <v>241</v>
      </c>
    </row>
    <row r="66" spans="1:6" x14ac:dyDescent="0.35">
      <c r="A66" s="47" t="s">
        <v>37</v>
      </c>
      <c r="B66" s="47" t="s">
        <v>66</v>
      </c>
      <c r="C66" t="s">
        <v>647</v>
      </c>
      <c r="D66">
        <v>3</v>
      </c>
      <c r="E66" s="47" t="s">
        <v>66</v>
      </c>
      <c r="F66">
        <v>241</v>
      </c>
    </row>
    <row r="67" spans="1:6" x14ac:dyDescent="0.35">
      <c r="A67" s="47" t="s">
        <v>37</v>
      </c>
      <c r="B67" s="47" t="s">
        <v>66</v>
      </c>
      <c r="C67" t="s">
        <v>282</v>
      </c>
      <c r="D67">
        <v>13</v>
      </c>
      <c r="E67" s="47" t="s">
        <v>65</v>
      </c>
      <c r="F67">
        <v>33</v>
      </c>
    </row>
    <row r="68" spans="1:6" x14ac:dyDescent="0.35">
      <c r="A68" s="47" t="s">
        <v>37</v>
      </c>
      <c r="B68" s="47" t="s">
        <v>66</v>
      </c>
      <c r="C68" t="s">
        <v>381</v>
      </c>
      <c r="D68">
        <v>42</v>
      </c>
    </row>
    <row r="69" spans="1:6" x14ac:dyDescent="0.35">
      <c r="A69" s="47" t="s">
        <v>37</v>
      </c>
      <c r="B69" s="47" t="s">
        <v>65</v>
      </c>
      <c r="C69" t="s">
        <v>282</v>
      </c>
      <c r="D69">
        <v>12</v>
      </c>
      <c r="E69" s="47" t="s">
        <v>65</v>
      </c>
      <c r="F69">
        <v>33</v>
      </c>
    </row>
    <row r="70" spans="1:6" x14ac:dyDescent="0.35">
      <c r="A70" s="48" t="s">
        <v>37</v>
      </c>
      <c r="B70" s="47" t="s">
        <v>65</v>
      </c>
      <c r="C70" t="s">
        <v>381</v>
      </c>
      <c r="D70">
        <v>82</v>
      </c>
    </row>
    <row r="71" spans="1:6" x14ac:dyDescent="0.35">
      <c r="A71" s="47" t="s">
        <v>39</v>
      </c>
      <c r="B71" s="47" t="s">
        <v>40</v>
      </c>
      <c r="C71" t="s">
        <v>673</v>
      </c>
      <c r="D71">
        <v>2</v>
      </c>
      <c r="E71" s="47" t="s">
        <v>40</v>
      </c>
    </row>
    <row r="72" spans="1:6" x14ac:dyDescent="0.35">
      <c r="A72" s="47" t="s">
        <v>39</v>
      </c>
      <c r="B72" s="47" t="s">
        <v>40</v>
      </c>
      <c r="C72" t="s">
        <v>635</v>
      </c>
      <c r="D72">
        <v>23</v>
      </c>
      <c r="E72" s="47" t="s">
        <v>40</v>
      </c>
    </row>
    <row r="73" spans="1:6" x14ac:dyDescent="0.35">
      <c r="A73" s="47" t="s">
        <v>39</v>
      </c>
      <c r="B73" s="47" t="s">
        <v>40</v>
      </c>
      <c r="C73" t="s">
        <v>636</v>
      </c>
      <c r="D73">
        <v>3</v>
      </c>
      <c r="E73" s="47" t="s">
        <v>40</v>
      </c>
    </row>
    <row r="74" spans="1:6" x14ac:dyDescent="0.35">
      <c r="A74" s="47" t="s">
        <v>39</v>
      </c>
      <c r="B74" s="47" t="s">
        <v>40</v>
      </c>
      <c r="C74" t="s">
        <v>306</v>
      </c>
      <c r="D74">
        <v>28</v>
      </c>
      <c r="E74" s="47" t="s">
        <v>40</v>
      </c>
    </row>
    <row r="75" spans="1:6" x14ac:dyDescent="0.35">
      <c r="A75" s="47" t="s">
        <v>39</v>
      </c>
      <c r="B75" s="47" t="s">
        <v>40</v>
      </c>
      <c r="C75" t="s">
        <v>637</v>
      </c>
      <c r="D75">
        <v>8</v>
      </c>
      <c r="E75" s="47" t="s">
        <v>40</v>
      </c>
    </row>
    <row r="76" spans="1:6" x14ac:dyDescent="0.35">
      <c r="A76" s="47" t="s">
        <v>39</v>
      </c>
      <c r="B76" s="47" t="s">
        <v>40</v>
      </c>
      <c r="C76" t="s">
        <v>511</v>
      </c>
      <c r="D76">
        <v>42</v>
      </c>
      <c r="E76" s="47" t="s">
        <v>40</v>
      </c>
    </row>
    <row r="77" spans="1:6" x14ac:dyDescent="0.35">
      <c r="A77" s="47" t="s">
        <v>39</v>
      </c>
      <c r="B77" s="47" t="s">
        <v>40</v>
      </c>
      <c r="C77" t="s">
        <v>291</v>
      </c>
      <c r="D77">
        <v>6</v>
      </c>
      <c r="E77" s="47" t="s">
        <v>40</v>
      </c>
    </row>
    <row r="78" spans="1:6" x14ac:dyDescent="0.35">
      <c r="A78" s="47" t="s">
        <v>39</v>
      </c>
      <c r="B78" s="47" t="s">
        <v>40</v>
      </c>
      <c r="C78" t="s">
        <v>404</v>
      </c>
      <c r="D78">
        <v>33</v>
      </c>
      <c r="E78" s="47" t="s">
        <v>40</v>
      </c>
    </row>
    <row r="79" spans="1:6" x14ac:dyDescent="0.35">
      <c r="A79" s="47" t="s">
        <v>39</v>
      </c>
      <c r="B79" s="47" t="s">
        <v>40</v>
      </c>
      <c r="C79" t="s">
        <v>281</v>
      </c>
      <c r="D79">
        <v>29</v>
      </c>
      <c r="E79" s="47" t="s">
        <v>40</v>
      </c>
    </row>
    <row r="80" spans="1:6" x14ac:dyDescent="0.35">
      <c r="A80" s="47" t="s">
        <v>39</v>
      </c>
      <c r="B80" s="47" t="s">
        <v>246</v>
      </c>
      <c r="C80" t="s">
        <v>404</v>
      </c>
      <c r="D80">
        <v>1</v>
      </c>
      <c r="E80" s="47" t="s">
        <v>246</v>
      </c>
    </row>
    <row r="81" spans="1:6" x14ac:dyDescent="0.35">
      <c r="A81" s="47" t="s">
        <v>39</v>
      </c>
      <c r="B81" s="47" t="s">
        <v>67</v>
      </c>
      <c r="C81" s="49" t="s">
        <v>673</v>
      </c>
      <c r="D81">
        <v>4</v>
      </c>
      <c r="E81" s="47" t="s">
        <v>67</v>
      </c>
      <c r="F81">
        <v>146</v>
      </c>
    </row>
    <row r="82" spans="1:6" x14ac:dyDescent="0.35">
      <c r="A82" s="47" t="s">
        <v>39</v>
      </c>
      <c r="B82" s="47" t="s">
        <v>67</v>
      </c>
      <c r="C82" t="s">
        <v>635</v>
      </c>
      <c r="D82">
        <v>30</v>
      </c>
      <c r="E82" t="s">
        <v>699</v>
      </c>
      <c r="F82">
        <v>101</v>
      </c>
    </row>
    <row r="83" spans="1:6" x14ac:dyDescent="0.35">
      <c r="A83" s="47" t="s">
        <v>39</v>
      </c>
      <c r="B83" s="47" t="s">
        <v>67</v>
      </c>
      <c r="C83" t="s">
        <v>636</v>
      </c>
      <c r="D83">
        <v>2</v>
      </c>
      <c r="E83" t="s">
        <v>699</v>
      </c>
      <c r="F83">
        <v>101</v>
      </c>
    </row>
    <row r="84" spans="1:6" x14ac:dyDescent="0.35">
      <c r="A84" s="47" t="s">
        <v>39</v>
      </c>
      <c r="B84" s="47" t="s">
        <v>67</v>
      </c>
      <c r="C84" s="49" t="s">
        <v>306</v>
      </c>
      <c r="D84">
        <v>43</v>
      </c>
      <c r="E84" s="47" t="s">
        <v>67</v>
      </c>
      <c r="F84">
        <v>146</v>
      </c>
    </row>
    <row r="85" spans="1:6" x14ac:dyDescent="0.35">
      <c r="A85" s="47" t="s">
        <v>39</v>
      </c>
      <c r="B85" s="47" t="s">
        <v>67</v>
      </c>
      <c r="C85" s="49" t="s">
        <v>637</v>
      </c>
      <c r="D85">
        <v>2</v>
      </c>
      <c r="E85" s="47" t="s">
        <v>67</v>
      </c>
      <c r="F85">
        <v>146</v>
      </c>
    </row>
    <row r="86" spans="1:6" x14ac:dyDescent="0.35">
      <c r="A86" s="47" t="s">
        <v>39</v>
      </c>
      <c r="B86" s="47" t="s">
        <v>67</v>
      </c>
      <c r="C86" s="49" t="s">
        <v>511</v>
      </c>
      <c r="D86">
        <v>45</v>
      </c>
      <c r="E86" s="47" t="s">
        <v>67</v>
      </c>
      <c r="F86">
        <v>146</v>
      </c>
    </row>
    <row r="87" spans="1:6" x14ac:dyDescent="0.35">
      <c r="A87" s="47" t="s">
        <v>39</v>
      </c>
      <c r="B87" s="47" t="s">
        <v>67</v>
      </c>
      <c r="C87" s="49" t="s">
        <v>291</v>
      </c>
      <c r="D87">
        <v>1</v>
      </c>
      <c r="E87" s="47" t="s">
        <v>67</v>
      </c>
      <c r="F87">
        <v>146</v>
      </c>
    </row>
    <row r="88" spans="1:6" x14ac:dyDescent="0.35">
      <c r="A88" s="47" t="s">
        <v>39</v>
      </c>
      <c r="B88" s="47" t="s">
        <v>67</v>
      </c>
      <c r="C88" t="s">
        <v>404</v>
      </c>
      <c r="D88">
        <v>35</v>
      </c>
      <c r="E88" t="s">
        <v>699</v>
      </c>
      <c r="F88">
        <v>101</v>
      </c>
    </row>
    <row r="89" spans="1:6" x14ac:dyDescent="0.35">
      <c r="A89" s="47" t="s">
        <v>39</v>
      </c>
      <c r="B89" s="47" t="s">
        <v>67</v>
      </c>
      <c r="C89" s="49" t="s">
        <v>141</v>
      </c>
      <c r="D89">
        <v>5</v>
      </c>
      <c r="E89" s="47" t="s">
        <v>67</v>
      </c>
      <c r="F89">
        <v>146</v>
      </c>
    </row>
    <row r="90" spans="1:6" x14ac:dyDescent="0.35">
      <c r="A90" s="47" t="s">
        <v>39</v>
      </c>
      <c r="B90" s="47" t="s">
        <v>67</v>
      </c>
      <c r="C90" s="49" t="s">
        <v>281</v>
      </c>
      <c r="D90">
        <v>77</v>
      </c>
      <c r="E90" s="47" t="s">
        <v>67</v>
      </c>
      <c r="F90">
        <v>146</v>
      </c>
    </row>
    <row r="91" spans="1:6" x14ac:dyDescent="0.35">
      <c r="A91" s="47" t="s">
        <v>39</v>
      </c>
      <c r="B91" s="47" t="s">
        <v>67</v>
      </c>
      <c r="C91" t="s">
        <v>381</v>
      </c>
      <c r="D91">
        <v>2</v>
      </c>
    </row>
    <row r="92" spans="1:6" x14ac:dyDescent="0.35">
      <c r="A92" s="48" t="s">
        <v>39</v>
      </c>
      <c r="B92" s="47" t="s">
        <v>64</v>
      </c>
      <c r="C92" t="s">
        <v>291</v>
      </c>
      <c r="D92">
        <v>1</v>
      </c>
      <c r="E92" s="47" t="s">
        <v>64</v>
      </c>
      <c r="F92">
        <v>64</v>
      </c>
    </row>
    <row r="93" spans="1:6" x14ac:dyDescent="0.35">
      <c r="A93" s="47" t="s">
        <v>41</v>
      </c>
      <c r="B93" s="47" t="s">
        <v>68</v>
      </c>
      <c r="C93" t="s">
        <v>219</v>
      </c>
      <c r="D93">
        <v>34</v>
      </c>
      <c r="E93" s="47" t="s">
        <v>68</v>
      </c>
      <c r="F93">
        <v>122</v>
      </c>
    </row>
    <row r="94" spans="1:6" x14ac:dyDescent="0.35">
      <c r="A94" s="47" t="s">
        <v>41</v>
      </c>
      <c r="B94" s="47" t="s">
        <v>68</v>
      </c>
      <c r="C94" t="s">
        <v>648</v>
      </c>
      <c r="D94">
        <v>9</v>
      </c>
      <c r="E94" s="47" t="s">
        <v>68</v>
      </c>
      <c r="F94">
        <v>122</v>
      </c>
    </row>
    <row r="95" spans="1:6" x14ac:dyDescent="0.35">
      <c r="A95" s="47" t="s">
        <v>41</v>
      </c>
      <c r="B95" s="47" t="s">
        <v>68</v>
      </c>
      <c r="C95" t="s">
        <v>666</v>
      </c>
      <c r="D95">
        <v>15</v>
      </c>
      <c r="E95" s="47" t="s">
        <v>68</v>
      </c>
      <c r="F95">
        <v>122</v>
      </c>
    </row>
    <row r="96" spans="1:6" x14ac:dyDescent="0.35">
      <c r="A96" s="47" t="s">
        <v>41</v>
      </c>
      <c r="B96" s="47" t="s">
        <v>68</v>
      </c>
      <c r="C96" t="s">
        <v>692</v>
      </c>
      <c r="D96">
        <v>2</v>
      </c>
      <c r="E96" s="47" t="s">
        <v>68</v>
      </c>
      <c r="F96">
        <v>122</v>
      </c>
    </row>
    <row r="97" spans="1:6" x14ac:dyDescent="0.35">
      <c r="A97" s="47" t="s">
        <v>41</v>
      </c>
      <c r="B97" s="47" t="s">
        <v>68</v>
      </c>
      <c r="C97" t="s">
        <v>143</v>
      </c>
      <c r="D97">
        <v>48</v>
      </c>
      <c r="E97" s="47" t="s">
        <v>68</v>
      </c>
      <c r="F97">
        <v>122</v>
      </c>
    </row>
    <row r="98" spans="1:6" x14ac:dyDescent="0.35">
      <c r="A98" s="47" t="s">
        <v>41</v>
      </c>
      <c r="B98" s="47" t="s">
        <v>68</v>
      </c>
      <c r="C98" t="s">
        <v>291</v>
      </c>
      <c r="D98">
        <v>1</v>
      </c>
      <c r="E98" s="47" t="s">
        <v>68</v>
      </c>
      <c r="F98">
        <v>122</v>
      </c>
    </row>
    <row r="99" spans="1:6" x14ac:dyDescent="0.35">
      <c r="A99" s="47" t="s">
        <v>41</v>
      </c>
      <c r="B99" s="47" t="s">
        <v>68</v>
      </c>
      <c r="C99" t="s">
        <v>665</v>
      </c>
      <c r="D99">
        <v>6</v>
      </c>
      <c r="E99" s="47" t="s">
        <v>68</v>
      </c>
      <c r="F99">
        <v>122</v>
      </c>
    </row>
    <row r="100" spans="1:6" x14ac:dyDescent="0.35">
      <c r="A100" s="47" t="s">
        <v>41</v>
      </c>
      <c r="B100" s="47" t="s">
        <v>68</v>
      </c>
      <c r="C100" t="s">
        <v>141</v>
      </c>
      <c r="D100">
        <v>3</v>
      </c>
      <c r="E100" s="47" t="s">
        <v>68</v>
      </c>
      <c r="F100">
        <v>122</v>
      </c>
    </row>
    <row r="101" spans="1:6" x14ac:dyDescent="0.35">
      <c r="A101" s="47" t="s">
        <v>41</v>
      </c>
      <c r="B101" s="47" t="s">
        <v>68</v>
      </c>
      <c r="C101" t="s">
        <v>698</v>
      </c>
      <c r="D101">
        <v>1</v>
      </c>
      <c r="E101" s="47" t="s">
        <v>68</v>
      </c>
      <c r="F101">
        <v>122</v>
      </c>
    </row>
    <row r="102" spans="1:6" x14ac:dyDescent="0.35">
      <c r="A102" s="47" t="s">
        <v>41</v>
      </c>
      <c r="B102" s="47" t="s">
        <v>68</v>
      </c>
      <c r="C102" t="s">
        <v>332</v>
      </c>
      <c r="D102">
        <v>7</v>
      </c>
      <c r="E102" s="47" t="s">
        <v>68</v>
      </c>
      <c r="F102">
        <v>122</v>
      </c>
    </row>
    <row r="103" spans="1:6" x14ac:dyDescent="0.35">
      <c r="A103" s="47" t="s">
        <v>41</v>
      </c>
      <c r="B103" s="47" t="s">
        <v>68</v>
      </c>
      <c r="C103" t="s">
        <v>664</v>
      </c>
      <c r="D103">
        <v>1</v>
      </c>
      <c r="E103" s="47" t="s">
        <v>68</v>
      </c>
      <c r="F103">
        <v>122</v>
      </c>
    </row>
    <row r="104" spans="1:6" x14ac:dyDescent="0.35">
      <c r="A104" s="47" t="s">
        <v>41</v>
      </c>
      <c r="B104" s="47" t="s">
        <v>68</v>
      </c>
      <c r="C104" t="s">
        <v>381</v>
      </c>
      <c r="D104">
        <v>6</v>
      </c>
      <c r="E104" s="47" t="s">
        <v>68</v>
      </c>
      <c r="F104">
        <v>122</v>
      </c>
    </row>
    <row r="105" spans="1:6" x14ac:dyDescent="0.35">
      <c r="A105" s="47" t="s">
        <v>41</v>
      </c>
      <c r="B105" s="47" t="s">
        <v>69</v>
      </c>
      <c r="C105" t="s">
        <v>143</v>
      </c>
      <c r="D105">
        <v>1</v>
      </c>
      <c r="E105" s="47" t="s">
        <v>68</v>
      </c>
      <c r="F105">
        <v>122</v>
      </c>
    </row>
    <row r="106" spans="1:6" x14ac:dyDescent="0.35">
      <c r="A106" s="47" t="s">
        <v>41</v>
      </c>
      <c r="B106" s="47" t="s">
        <v>69</v>
      </c>
      <c r="C106" t="s">
        <v>660</v>
      </c>
      <c r="D106">
        <v>2</v>
      </c>
      <c r="E106" s="47" t="s">
        <v>68</v>
      </c>
      <c r="F106">
        <v>122</v>
      </c>
    </row>
    <row r="107" spans="1:6" x14ac:dyDescent="0.35">
      <c r="A107" s="47" t="s">
        <v>41</v>
      </c>
      <c r="B107" s="47" t="s">
        <v>69</v>
      </c>
      <c r="C107" t="s">
        <v>511</v>
      </c>
      <c r="D107">
        <v>3</v>
      </c>
      <c r="E107" s="47" t="s">
        <v>68</v>
      </c>
      <c r="F107">
        <v>122</v>
      </c>
    </row>
    <row r="108" spans="1:6" x14ac:dyDescent="0.35">
      <c r="A108" s="47" t="s">
        <v>41</v>
      </c>
      <c r="B108" s="47" t="s">
        <v>69</v>
      </c>
      <c r="C108" t="s">
        <v>332</v>
      </c>
      <c r="D108">
        <v>2</v>
      </c>
      <c r="E108" s="47" t="s">
        <v>68</v>
      </c>
      <c r="F108">
        <v>122</v>
      </c>
    </row>
    <row r="109" spans="1:6" x14ac:dyDescent="0.35">
      <c r="A109" s="47" t="s">
        <v>41</v>
      </c>
      <c r="B109" s="47" t="s">
        <v>69</v>
      </c>
      <c r="C109" t="s">
        <v>135</v>
      </c>
      <c r="D109">
        <v>202</v>
      </c>
      <c r="E109" s="47" t="s">
        <v>69</v>
      </c>
      <c r="F109">
        <v>61</v>
      </c>
    </row>
    <row r="110" spans="1:6" x14ac:dyDescent="0.35">
      <c r="A110" s="47" t="s">
        <v>41</v>
      </c>
      <c r="B110" s="47" t="s">
        <v>69</v>
      </c>
      <c r="C110" t="s">
        <v>381</v>
      </c>
      <c r="D110">
        <v>5</v>
      </c>
      <c r="E110" s="47" t="s">
        <v>68</v>
      </c>
      <c r="F110">
        <v>122</v>
      </c>
    </row>
    <row r="111" spans="1:6" x14ac:dyDescent="0.35">
      <c r="A111" s="47" t="s">
        <v>41</v>
      </c>
      <c r="B111" s="47" t="s">
        <v>42</v>
      </c>
      <c r="C111" t="s">
        <v>219</v>
      </c>
      <c r="D111">
        <v>52</v>
      </c>
      <c r="E111" s="47" t="s">
        <v>42</v>
      </c>
    </row>
    <row r="112" spans="1:6" x14ac:dyDescent="0.35">
      <c r="A112" s="47" t="s">
        <v>41</v>
      </c>
      <c r="B112" s="47" t="s">
        <v>42</v>
      </c>
      <c r="C112" t="s">
        <v>648</v>
      </c>
      <c r="D112">
        <v>14</v>
      </c>
      <c r="E112" s="47" t="s">
        <v>42</v>
      </c>
    </row>
    <row r="113" spans="1:5" x14ac:dyDescent="0.35">
      <c r="A113" s="47" t="s">
        <v>41</v>
      </c>
      <c r="B113" s="47" t="s">
        <v>42</v>
      </c>
      <c r="C113" t="s">
        <v>661</v>
      </c>
      <c r="D113">
        <v>26</v>
      </c>
      <c r="E113" s="47" t="s">
        <v>42</v>
      </c>
    </row>
    <row r="114" spans="1:5" x14ac:dyDescent="0.35">
      <c r="A114" s="47" t="s">
        <v>41</v>
      </c>
      <c r="B114" s="47" t="s">
        <v>42</v>
      </c>
      <c r="C114" t="s">
        <v>666</v>
      </c>
      <c r="D114">
        <v>12</v>
      </c>
      <c r="E114" s="47" t="s">
        <v>42</v>
      </c>
    </row>
    <row r="115" spans="1:5" x14ac:dyDescent="0.35">
      <c r="A115" s="47" t="s">
        <v>41</v>
      </c>
      <c r="B115" s="47" t="s">
        <v>42</v>
      </c>
      <c r="C115" t="s">
        <v>642</v>
      </c>
      <c r="D115">
        <v>3</v>
      </c>
      <c r="E115" s="47" t="s">
        <v>42</v>
      </c>
    </row>
    <row r="116" spans="1:5" x14ac:dyDescent="0.35">
      <c r="A116" s="47" t="s">
        <v>41</v>
      </c>
      <c r="B116" s="47" t="s">
        <v>42</v>
      </c>
      <c r="C116" t="s">
        <v>663</v>
      </c>
      <c r="D116">
        <v>22</v>
      </c>
      <c r="E116" s="47" t="s">
        <v>42</v>
      </c>
    </row>
    <row r="117" spans="1:5" x14ac:dyDescent="0.35">
      <c r="A117" s="47" t="s">
        <v>41</v>
      </c>
      <c r="B117" s="47" t="s">
        <v>42</v>
      </c>
      <c r="C117" t="s">
        <v>662</v>
      </c>
      <c r="D117">
        <v>4</v>
      </c>
      <c r="E117" s="47" t="s">
        <v>42</v>
      </c>
    </row>
    <row r="118" spans="1:5" x14ac:dyDescent="0.35">
      <c r="A118" s="47" t="s">
        <v>41</v>
      </c>
      <c r="B118" s="47" t="s">
        <v>42</v>
      </c>
      <c r="C118" t="s">
        <v>692</v>
      </c>
      <c r="D118">
        <v>3</v>
      </c>
      <c r="E118" s="47" t="s">
        <v>42</v>
      </c>
    </row>
    <row r="119" spans="1:5" x14ac:dyDescent="0.35">
      <c r="A119" s="47" t="s">
        <v>41</v>
      </c>
      <c r="B119" s="47" t="s">
        <v>42</v>
      </c>
      <c r="C119" t="s">
        <v>644</v>
      </c>
      <c r="D119">
        <v>2</v>
      </c>
      <c r="E119" s="47" t="s">
        <v>42</v>
      </c>
    </row>
    <row r="120" spans="1:5" x14ac:dyDescent="0.35">
      <c r="A120" s="47" t="s">
        <v>41</v>
      </c>
      <c r="B120" s="47" t="s">
        <v>42</v>
      </c>
      <c r="C120" t="s">
        <v>143</v>
      </c>
      <c r="D120">
        <v>11</v>
      </c>
      <c r="E120" s="47" t="s">
        <v>42</v>
      </c>
    </row>
    <row r="121" spans="1:5" x14ac:dyDescent="0.35">
      <c r="A121" s="47" t="s">
        <v>41</v>
      </c>
      <c r="B121" s="47" t="s">
        <v>42</v>
      </c>
      <c r="C121" t="s">
        <v>660</v>
      </c>
      <c r="D121">
        <v>2</v>
      </c>
      <c r="E121" s="47" t="s">
        <v>42</v>
      </c>
    </row>
    <row r="122" spans="1:5" x14ac:dyDescent="0.35">
      <c r="A122" s="47" t="s">
        <v>41</v>
      </c>
      <c r="B122" s="47" t="s">
        <v>42</v>
      </c>
      <c r="C122" t="s">
        <v>291</v>
      </c>
      <c r="D122">
        <v>3</v>
      </c>
      <c r="E122" s="47" t="s">
        <v>42</v>
      </c>
    </row>
    <row r="123" spans="1:5" x14ac:dyDescent="0.35">
      <c r="A123" s="47" t="s">
        <v>41</v>
      </c>
      <c r="B123" s="47" t="s">
        <v>42</v>
      </c>
      <c r="C123" t="s">
        <v>649</v>
      </c>
      <c r="D123">
        <v>1</v>
      </c>
      <c r="E123" s="47" t="s">
        <v>42</v>
      </c>
    </row>
    <row r="124" spans="1:5" x14ac:dyDescent="0.35">
      <c r="A124" s="47" t="s">
        <v>41</v>
      </c>
      <c r="B124" s="47" t="s">
        <v>42</v>
      </c>
      <c r="C124" t="s">
        <v>665</v>
      </c>
      <c r="D124">
        <v>7</v>
      </c>
      <c r="E124" s="47" t="s">
        <v>42</v>
      </c>
    </row>
    <row r="125" spans="1:5" x14ac:dyDescent="0.35">
      <c r="A125" s="47" t="s">
        <v>41</v>
      </c>
      <c r="B125" s="47" t="s">
        <v>42</v>
      </c>
      <c r="C125" t="s">
        <v>332</v>
      </c>
      <c r="D125">
        <v>14</v>
      </c>
      <c r="E125" s="47" t="s">
        <v>42</v>
      </c>
    </row>
    <row r="126" spans="1:5" x14ac:dyDescent="0.35">
      <c r="A126" s="47" t="s">
        <v>41</v>
      </c>
      <c r="B126" s="47" t="s">
        <v>42</v>
      </c>
      <c r="C126" t="s">
        <v>135</v>
      </c>
      <c r="D126">
        <v>46</v>
      </c>
      <c r="E126" s="47" t="s">
        <v>42</v>
      </c>
    </row>
    <row r="127" spans="1:5" x14ac:dyDescent="0.35">
      <c r="A127" s="48" t="s">
        <v>41</v>
      </c>
      <c r="B127" s="47" t="s">
        <v>42</v>
      </c>
      <c r="C127" t="s">
        <v>381</v>
      </c>
      <c r="D127">
        <v>4</v>
      </c>
      <c r="E127" s="47" t="s">
        <v>42</v>
      </c>
    </row>
    <row r="128" spans="1:5" x14ac:dyDescent="0.35">
      <c r="A128" s="47" t="s">
        <v>43</v>
      </c>
      <c r="B128" s="47" t="s">
        <v>44</v>
      </c>
      <c r="C128" t="s">
        <v>684</v>
      </c>
      <c r="D128">
        <v>1</v>
      </c>
    </row>
    <row r="129" spans="1:4" x14ac:dyDescent="0.35">
      <c r="A129" s="47" t="s">
        <v>43</v>
      </c>
      <c r="B129" s="47" t="s">
        <v>44</v>
      </c>
      <c r="C129" t="s">
        <v>658</v>
      </c>
      <c r="D129">
        <v>6</v>
      </c>
    </row>
    <row r="130" spans="1:4" x14ac:dyDescent="0.35">
      <c r="A130" s="47" t="s">
        <v>43</v>
      </c>
      <c r="B130" s="47" t="s">
        <v>44</v>
      </c>
      <c r="C130" t="s">
        <v>645</v>
      </c>
      <c r="D130">
        <v>3</v>
      </c>
    </row>
    <row r="131" spans="1:4" x14ac:dyDescent="0.35">
      <c r="A131" s="47" t="s">
        <v>43</v>
      </c>
      <c r="B131" s="47" t="s">
        <v>44</v>
      </c>
      <c r="C131" t="s">
        <v>654</v>
      </c>
      <c r="D131">
        <v>3</v>
      </c>
    </row>
    <row r="132" spans="1:4" x14ac:dyDescent="0.35">
      <c r="A132" s="47" t="s">
        <v>43</v>
      </c>
      <c r="B132" s="47" t="s">
        <v>44</v>
      </c>
      <c r="C132" t="s">
        <v>667</v>
      </c>
      <c r="D132">
        <v>2</v>
      </c>
    </row>
    <row r="133" spans="1:4" x14ac:dyDescent="0.35">
      <c r="A133" s="47" t="s">
        <v>43</v>
      </c>
      <c r="B133" s="47" t="s">
        <v>44</v>
      </c>
      <c r="C133" t="s">
        <v>688</v>
      </c>
      <c r="D133">
        <v>8</v>
      </c>
    </row>
    <row r="134" spans="1:4" x14ac:dyDescent="0.35">
      <c r="A134" s="47" t="s">
        <v>43</v>
      </c>
      <c r="B134" s="47" t="s">
        <v>44</v>
      </c>
      <c r="C134" t="s">
        <v>641</v>
      </c>
      <c r="D134">
        <v>2</v>
      </c>
    </row>
    <row r="135" spans="1:4" x14ac:dyDescent="0.35">
      <c r="A135" s="47" t="s">
        <v>43</v>
      </c>
      <c r="B135" s="47" t="s">
        <v>44</v>
      </c>
      <c r="C135" t="s">
        <v>354</v>
      </c>
      <c r="D135">
        <v>2</v>
      </c>
    </row>
    <row r="136" spans="1:4" x14ac:dyDescent="0.35">
      <c r="A136" s="47" t="s">
        <v>43</v>
      </c>
      <c r="B136" s="47" t="s">
        <v>44</v>
      </c>
      <c r="C136" t="s">
        <v>681</v>
      </c>
      <c r="D136">
        <v>4</v>
      </c>
    </row>
    <row r="137" spans="1:4" x14ac:dyDescent="0.35">
      <c r="A137" s="47" t="s">
        <v>43</v>
      </c>
      <c r="B137" s="47" t="s">
        <v>44</v>
      </c>
      <c r="C137" t="s">
        <v>685</v>
      </c>
      <c r="D137">
        <v>1</v>
      </c>
    </row>
    <row r="138" spans="1:4" x14ac:dyDescent="0.35">
      <c r="A138" s="47" t="s">
        <v>43</v>
      </c>
      <c r="B138" s="47" t="s">
        <v>44</v>
      </c>
      <c r="C138" t="s">
        <v>659</v>
      </c>
      <c r="D138">
        <v>5</v>
      </c>
    </row>
    <row r="139" spans="1:4" x14ac:dyDescent="0.35">
      <c r="A139" s="47" t="s">
        <v>43</v>
      </c>
      <c r="B139" s="47" t="s">
        <v>44</v>
      </c>
      <c r="C139" t="s">
        <v>637</v>
      </c>
      <c r="D139">
        <v>5</v>
      </c>
    </row>
    <row r="140" spans="1:4" x14ac:dyDescent="0.35">
      <c r="A140" s="47" t="s">
        <v>43</v>
      </c>
      <c r="B140" s="47" t="s">
        <v>44</v>
      </c>
      <c r="C140" t="s">
        <v>643</v>
      </c>
      <c r="D140">
        <v>4</v>
      </c>
    </row>
    <row r="141" spans="1:4" x14ac:dyDescent="0.35">
      <c r="A141" s="47" t="s">
        <v>43</v>
      </c>
      <c r="B141" s="47" t="s">
        <v>44</v>
      </c>
      <c r="C141" t="s">
        <v>291</v>
      </c>
      <c r="D141">
        <v>56</v>
      </c>
    </row>
    <row r="142" spans="1:4" x14ac:dyDescent="0.35">
      <c r="A142" s="47" t="s">
        <v>43</v>
      </c>
      <c r="B142" s="47" t="s">
        <v>44</v>
      </c>
      <c r="C142" t="s">
        <v>682</v>
      </c>
      <c r="D142">
        <v>1</v>
      </c>
    </row>
    <row r="143" spans="1:4" x14ac:dyDescent="0.35">
      <c r="A143" s="47" t="s">
        <v>43</v>
      </c>
      <c r="B143" s="47" t="s">
        <v>44</v>
      </c>
      <c r="C143" t="s">
        <v>697</v>
      </c>
      <c r="D143">
        <v>1</v>
      </c>
    </row>
    <row r="144" spans="1:4" x14ac:dyDescent="0.35">
      <c r="A144" s="47" t="s">
        <v>43</v>
      </c>
      <c r="B144" s="47" t="s">
        <v>44</v>
      </c>
      <c r="C144" t="s">
        <v>650</v>
      </c>
      <c r="D144">
        <v>4</v>
      </c>
    </row>
    <row r="145" spans="1:6" x14ac:dyDescent="0.35">
      <c r="A145" s="47" t="s">
        <v>43</v>
      </c>
      <c r="B145" s="47" t="s">
        <v>44</v>
      </c>
      <c r="C145" t="s">
        <v>651</v>
      </c>
      <c r="D145">
        <v>2</v>
      </c>
    </row>
    <row r="146" spans="1:6" x14ac:dyDescent="0.35">
      <c r="A146" s="47" t="s">
        <v>43</v>
      </c>
      <c r="B146" s="47" t="s">
        <v>44</v>
      </c>
      <c r="C146" t="s">
        <v>656</v>
      </c>
      <c r="D146">
        <v>2</v>
      </c>
    </row>
    <row r="147" spans="1:6" x14ac:dyDescent="0.35">
      <c r="A147" s="47" t="s">
        <v>43</v>
      </c>
      <c r="B147" s="47" t="s">
        <v>44</v>
      </c>
      <c r="C147" t="s">
        <v>687</v>
      </c>
      <c r="D147">
        <v>1</v>
      </c>
    </row>
    <row r="148" spans="1:6" x14ac:dyDescent="0.35">
      <c r="A148" s="47" t="s">
        <v>43</v>
      </c>
      <c r="B148" s="47" t="s">
        <v>44</v>
      </c>
      <c r="C148" t="s">
        <v>640</v>
      </c>
      <c r="D148">
        <v>2</v>
      </c>
    </row>
    <row r="149" spans="1:6" x14ac:dyDescent="0.35">
      <c r="A149" s="47" t="s">
        <v>43</v>
      </c>
      <c r="B149" s="47" t="s">
        <v>44</v>
      </c>
      <c r="C149" t="s">
        <v>153</v>
      </c>
      <c r="D149">
        <v>5</v>
      </c>
    </row>
    <row r="150" spans="1:6" x14ac:dyDescent="0.35">
      <c r="A150" s="47" t="s">
        <v>43</v>
      </c>
      <c r="B150" s="47" t="s">
        <v>44</v>
      </c>
      <c r="C150" t="s">
        <v>638</v>
      </c>
      <c r="D150">
        <v>2</v>
      </c>
    </row>
    <row r="151" spans="1:6" x14ac:dyDescent="0.35">
      <c r="A151" s="47" t="s">
        <v>43</v>
      </c>
      <c r="B151" s="47" t="s">
        <v>44</v>
      </c>
      <c r="C151" t="s">
        <v>442</v>
      </c>
      <c r="D151">
        <v>1</v>
      </c>
    </row>
    <row r="152" spans="1:6" x14ac:dyDescent="0.35">
      <c r="A152" s="47" t="s">
        <v>43</v>
      </c>
      <c r="B152" s="47" t="s">
        <v>44</v>
      </c>
      <c r="C152" t="s">
        <v>664</v>
      </c>
      <c r="D152">
        <v>11</v>
      </c>
    </row>
    <row r="153" spans="1:6" x14ac:dyDescent="0.35">
      <c r="A153" s="47" t="s">
        <v>43</v>
      </c>
      <c r="B153" s="47" t="s">
        <v>44</v>
      </c>
      <c r="C153" t="s">
        <v>657</v>
      </c>
      <c r="D153">
        <v>3</v>
      </c>
    </row>
    <row r="154" spans="1:6" x14ac:dyDescent="0.35">
      <c r="A154" s="47" t="s">
        <v>43</v>
      </c>
      <c r="B154" s="47" t="s">
        <v>44</v>
      </c>
      <c r="C154" t="s">
        <v>683</v>
      </c>
      <c r="D154">
        <v>1</v>
      </c>
    </row>
    <row r="155" spans="1:6" x14ac:dyDescent="0.35">
      <c r="A155" s="47" t="s">
        <v>43</v>
      </c>
      <c r="B155" s="47" t="s">
        <v>44</v>
      </c>
      <c r="C155" t="s">
        <v>653</v>
      </c>
      <c r="D155">
        <v>4</v>
      </c>
    </row>
    <row r="156" spans="1:6" x14ac:dyDescent="0.35">
      <c r="A156" s="47" t="s">
        <v>43</v>
      </c>
      <c r="B156" s="47" t="s">
        <v>44</v>
      </c>
      <c r="C156" t="s">
        <v>639</v>
      </c>
      <c r="D156">
        <v>1</v>
      </c>
    </row>
    <row r="157" spans="1:6" x14ac:dyDescent="0.35">
      <c r="A157" s="47" t="s">
        <v>43</v>
      </c>
      <c r="B157" s="47" t="s">
        <v>44</v>
      </c>
      <c r="C157" t="s">
        <v>655</v>
      </c>
      <c r="D157">
        <v>4</v>
      </c>
    </row>
    <row r="158" spans="1:6" x14ac:dyDescent="0.35">
      <c r="A158" s="47" t="s">
        <v>43</v>
      </c>
      <c r="B158" s="47" t="s">
        <v>64</v>
      </c>
      <c r="C158" t="s">
        <v>684</v>
      </c>
      <c r="D158">
        <v>1</v>
      </c>
      <c r="E158" s="47" t="s">
        <v>64</v>
      </c>
      <c r="F158">
        <v>64</v>
      </c>
    </row>
    <row r="159" spans="1:6" x14ac:dyDescent="0.35">
      <c r="A159" s="47" t="s">
        <v>43</v>
      </c>
      <c r="B159" s="47" t="s">
        <v>64</v>
      </c>
      <c r="C159" t="s">
        <v>396</v>
      </c>
      <c r="D159">
        <v>6</v>
      </c>
      <c r="E159" s="47" t="s">
        <v>64</v>
      </c>
      <c r="F159">
        <v>64</v>
      </c>
    </row>
    <row r="160" spans="1:6" x14ac:dyDescent="0.35">
      <c r="A160" s="47" t="s">
        <v>43</v>
      </c>
      <c r="B160" s="47" t="s">
        <v>64</v>
      </c>
      <c r="C160" t="s">
        <v>641</v>
      </c>
      <c r="D160">
        <v>1</v>
      </c>
      <c r="E160" t="s">
        <v>641</v>
      </c>
      <c r="F160">
        <v>64</v>
      </c>
    </row>
    <row r="161" spans="1:6" x14ac:dyDescent="0.35">
      <c r="A161" s="47" t="s">
        <v>43</v>
      </c>
      <c r="B161" s="47" t="s">
        <v>64</v>
      </c>
      <c r="C161" t="s">
        <v>354</v>
      </c>
      <c r="D161">
        <v>1</v>
      </c>
      <c r="E161" t="s">
        <v>354</v>
      </c>
      <c r="F161">
        <v>64</v>
      </c>
    </row>
    <row r="162" spans="1:6" x14ac:dyDescent="0.35">
      <c r="A162" s="47" t="s">
        <v>43</v>
      </c>
      <c r="B162" s="47" t="s">
        <v>64</v>
      </c>
      <c r="C162" t="s">
        <v>545</v>
      </c>
      <c r="D162">
        <v>2</v>
      </c>
      <c r="E162" t="s">
        <v>545</v>
      </c>
      <c r="F162">
        <v>64</v>
      </c>
    </row>
    <row r="163" spans="1:6" x14ac:dyDescent="0.35">
      <c r="A163" s="47" t="s">
        <v>43</v>
      </c>
      <c r="B163" s="47" t="s">
        <v>64</v>
      </c>
      <c r="C163" t="s">
        <v>637</v>
      </c>
      <c r="D163">
        <v>15</v>
      </c>
      <c r="E163" t="s">
        <v>637</v>
      </c>
      <c r="F163">
        <v>64</v>
      </c>
    </row>
    <row r="164" spans="1:6" x14ac:dyDescent="0.35">
      <c r="A164" s="47" t="s">
        <v>43</v>
      </c>
      <c r="B164" s="47" t="s">
        <v>64</v>
      </c>
      <c r="C164" t="s">
        <v>633</v>
      </c>
      <c r="D164">
        <v>1</v>
      </c>
      <c r="E164" t="s">
        <v>633</v>
      </c>
      <c r="F164">
        <v>64</v>
      </c>
    </row>
    <row r="165" spans="1:6" x14ac:dyDescent="0.35">
      <c r="A165" s="47" t="s">
        <v>43</v>
      </c>
      <c r="B165" s="47" t="s">
        <v>64</v>
      </c>
      <c r="C165" t="s">
        <v>643</v>
      </c>
      <c r="D165">
        <v>4</v>
      </c>
      <c r="E165" t="s">
        <v>643</v>
      </c>
      <c r="F165">
        <v>64</v>
      </c>
    </row>
    <row r="166" spans="1:6" x14ac:dyDescent="0.35">
      <c r="A166" s="47" t="s">
        <v>43</v>
      </c>
      <c r="B166" s="47" t="s">
        <v>64</v>
      </c>
      <c r="C166" t="s">
        <v>134</v>
      </c>
      <c r="D166">
        <v>16</v>
      </c>
      <c r="E166" t="s">
        <v>134</v>
      </c>
      <c r="F166">
        <v>64</v>
      </c>
    </row>
    <row r="167" spans="1:6" x14ac:dyDescent="0.35">
      <c r="A167" s="47" t="s">
        <v>43</v>
      </c>
      <c r="B167" s="47" t="s">
        <v>64</v>
      </c>
      <c r="C167" t="s">
        <v>291</v>
      </c>
      <c r="D167">
        <v>27</v>
      </c>
      <c r="E167" t="s">
        <v>291</v>
      </c>
      <c r="F167">
        <v>64</v>
      </c>
    </row>
    <row r="168" spans="1:6" x14ac:dyDescent="0.35">
      <c r="A168" s="47" t="s">
        <v>43</v>
      </c>
      <c r="B168" s="47" t="s">
        <v>64</v>
      </c>
      <c r="C168" t="s">
        <v>650</v>
      </c>
      <c r="D168">
        <v>3</v>
      </c>
      <c r="E168" t="s">
        <v>650</v>
      </c>
      <c r="F168">
        <v>64</v>
      </c>
    </row>
    <row r="169" spans="1:6" x14ac:dyDescent="0.35">
      <c r="A169" s="47" t="s">
        <v>43</v>
      </c>
      <c r="B169" s="47" t="s">
        <v>64</v>
      </c>
      <c r="C169" t="s">
        <v>651</v>
      </c>
      <c r="D169">
        <v>2</v>
      </c>
      <c r="E169" t="s">
        <v>651</v>
      </c>
      <c r="F169">
        <v>64</v>
      </c>
    </row>
    <row r="170" spans="1:6" x14ac:dyDescent="0.35">
      <c r="A170" s="47" t="s">
        <v>43</v>
      </c>
      <c r="B170" s="47" t="s">
        <v>64</v>
      </c>
      <c r="C170" t="s">
        <v>656</v>
      </c>
      <c r="D170">
        <v>3</v>
      </c>
      <c r="E170" t="s">
        <v>656</v>
      </c>
      <c r="F170">
        <v>64</v>
      </c>
    </row>
    <row r="171" spans="1:6" x14ac:dyDescent="0.35">
      <c r="A171" s="47" t="s">
        <v>43</v>
      </c>
      <c r="B171" s="47" t="s">
        <v>64</v>
      </c>
      <c r="C171" t="s">
        <v>141</v>
      </c>
      <c r="D171">
        <v>5</v>
      </c>
      <c r="E171" t="s">
        <v>141</v>
      </c>
      <c r="F171">
        <v>64</v>
      </c>
    </row>
    <row r="172" spans="1:6" x14ac:dyDescent="0.35">
      <c r="A172" s="47" t="s">
        <v>43</v>
      </c>
      <c r="B172" s="47" t="s">
        <v>64</v>
      </c>
      <c r="C172" t="s">
        <v>324</v>
      </c>
      <c r="D172">
        <v>3</v>
      </c>
      <c r="E172" t="s">
        <v>324</v>
      </c>
      <c r="F172">
        <v>64</v>
      </c>
    </row>
    <row r="173" spans="1:6" x14ac:dyDescent="0.35">
      <c r="A173" s="47" t="s">
        <v>43</v>
      </c>
      <c r="B173" s="47" t="s">
        <v>64</v>
      </c>
      <c r="C173" t="s">
        <v>640</v>
      </c>
      <c r="D173">
        <v>4</v>
      </c>
      <c r="E173" t="s">
        <v>640</v>
      </c>
      <c r="F173">
        <v>64</v>
      </c>
    </row>
    <row r="174" spans="1:6" x14ac:dyDescent="0.35">
      <c r="A174" s="47" t="s">
        <v>43</v>
      </c>
      <c r="B174" s="47" t="s">
        <v>64</v>
      </c>
      <c r="C174" t="s">
        <v>153</v>
      </c>
      <c r="D174">
        <v>1</v>
      </c>
      <c r="E174" t="s">
        <v>153</v>
      </c>
      <c r="F174">
        <v>64</v>
      </c>
    </row>
    <row r="175" spans="1:6" x14ac:dyDescent="0.35">
      <c r="A175" s="47" t="s">
        <v>43</v>
      </c>
      <c r="B175" s="47" t="s">
        <v>64</v>
      </c>
      <c r="C175" t="s">
        <v>638</v>
      </c>
      <c r="D175">
        <v>3</v>
      </c>
      <c r="E175" t="s">
        <v>638</v>
      </c>
      <c r="F175">
        <v>64</v>
      </c>
    </row>
    <row r="176" spans="1:6" x14ac:dyDescent="0.35">
      <c r="A176" s="47" t="s">
        <v>43</v>
      </c>
      <c r="B176" s="47" t="s">
        <v>64</v>
      </c>
      <c r="C176" t="s">
        <v>657</v>
      </c>
      <c r="D176">
        <v>2</v>
      </c>
      <c r="E176" t="s">
        <v>657</v>
      </c>
      <c r="F176">
        <v>64</v>
      </c>
    </row>
    <row r="177" spans="1:6" x14ac:dyDescent="0.35">
      <c r="A177" s="47" t="s">
        <v>43</v>
      </c>
      <c r="B177" s="47" t="s">
        <v>64</v>
      </c>
      <c r="C177" t="s">
        <v>282</v>
      </c>
      <c r="D177">
        <v>3</v>
      </c>
      <c r="E177" t="s">
        <v>282</v>
      </c>
      <c r="F177">
        <v>64</v>
      </c>
    </row>
    <row r="178" spans="1:6" x14ac:dyDescent="0.35">
      <c r="A178" s="47" t="s">
        <v>43</v>
      </c>
      <c r="B178" s="47" t="s">
        <v>64</v>
      </c>
      <c r="C178" t="s">
        <v>674</v>
      </c>
      <c r="D178">
        <v>1</v>
      </c>
      <c r="E178" t="s">
        <v>674</v>
      </c>
      <c r="F178">
        <v>64</v>
      </c>
    </row>
    <row r="179" spans="1:6" x14ac:dyDescent="0.35">
      <c r="A179" s="48" t="s">
        <v>43</v>
      </c>
      <c r="B179" s="47" t="s">
        <v>64</v>
      </c>
      <c r="C179" t="s">
        <v>655</v>
      </c>
      <c r="D179">
        <v>6</v>
      </c>
      <c r="E179" t="s">
        <v>655</v>
      </c>
      <c r="F179">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46</v>
      </c>
      <c r="B1" t="s">
        <v>10</v>
      </c>
      <c r="D1" t="s">
        <v>15</v>
      </c>
      <c r="E1" t="s">
        <v>14</v>
      </c>
      <c r="F1" t="s">
        <v>712</v>
      </c>
      <c r="G1" t="s">
        <v>88</v>
      </c>
      <c r="H1" t="s">
        <v>702</v>
      </c>
      <c r="I1" t="s">
        <v>703</v>
      </c>
      <c r="J1" t="s">
        <v>704</v>
      </c>
      <c r="K1" t="s">
        <v>87</v>
      </c>
    </row>
    <row r="2" spans="1:11" hidden="1" x14ac:dyDescent="0.35">
      <c r="A2" t="s">
        <v>50</v>
      </c>
      <c r="B2" t="s">
        <v>51</v>
      </c>
      <c r="C2" t="s">
        <v>710</v>
      </c>
      <c r="D2">
        <v>0.7</v>
      </c>
      <c r="E2">
        <v>0.9</v>
      </c>
      <c r="F2">
        <v>0.125</v>
      </c>
      <c r="G2">
        <v>0.1</v>
      </c>
      <c r="H2">
        <v>0</v>
      </c>
      <c r="I2">
        <v>12</v>
      </c>
      <c r="J2">
        <v>9</v>
      </c>
      <c r="K2">
        <v>30</v>
      </c>
    </row>
    <row r="3" spans="1:11" x14ac:dyDescent="0.35">
      <c r="A3" t="s">
        <v>50</v>
      </c>
      <c r="B3" t="s">
        <v>29</v>
      </c>
      <c r="C3" t="s">
        <v>710</v>
      </c>
      <c r="D3">
        <v>1.8</v>
      </c>
      <c r="E3">
        <v>0.9</v>
      </c>
      <c r="F3">
        <v>0.125</v>
      </c>
      <c r="G3">
        <v>0.1</v>
      </c>
      <c r="H3">
        <v>0</v>
      </c>
      <c r="I3">
        <v>11</v>
      </c>
      <c r="J3">
        <v>7</v>
      </c>
      <c r="K3">
        <v>10</v>
      </c>
    </row>
    <row r="4" spans="1:11" hidden="1" x14ac:dyDescent="0.35">
      <c r="A4" t="s">
        <v>50</v>
      </c>
      <c r="B4" t="s">
        <v>11</v>
      </c>
      <c r="C4" t="s">
        <v>710</v>
      </c>
      <c r="D4">
        <v>0</v>
      </c>
      <c r="E4">
        <v>0.9</v>
      </c>
      <c r="F4">
        <v>0.125</v>
      </c>
      <c r="G4">
        <v>0.1</v>
      </c>
      <c r="H4">
        <v>0</v>
      </c>
      <c r="I4">
        <v>0</v>
      </c>
      <c r="J4">
        <v>0</v>
      </c>
      <c r="K4">
        <v>1</v>
      </c>
    </row>
    <row r="5" spans="1:11" hidden="1" x14ac:dyDescent="0.35">
      <c r="A5" t="s">
        <v>50</v>
      </c>
      <c r="B5" t="s">
        <v>12</v>
      </c>
      <c r="C5" t="s">
        <v>710</v>
      </c>
      <c r="D5" t="s">
        <v>711</v>
      </c>
      <c r="E5">
        <v>0.9</v>
      </c>
      <c r="F5">
        <v>0</v>
      </c>
      <c r="G5">
        <v>0.2</v>
      </c>
      <c r="H5">
        <v>0</v>
      </c>
      <c r="I5">
        <v>0</v>
      </c>
      <c r="J5">
        <v>0</v>
      </c>
      <c r="K5">
        <v>0</v>
      </c>
    </row>
    <row r="6" spans="1:11" hidden="1" x14ac:dyDescent="0.35">
      <c r="A6" t="s">
        <v>50</v>
      </c>
      <c r="B6" t="s">
        <v>13</v>
      </c>
      <c r="C6" t="s">
        <v>710</v>
      </c>
      <c r="D6">
        <v>0</v>
      </c>
      <c r="E6">
        <v>0.9</v>
      </c>
      <c r="F6">
        <v>0.125</v>
      </c>
      <c r="G6">
        <v>0.1</v>
      </c>
      <c r="H6">
        <v>0</v>
      </c>
      <c r="I6">
        <v>0</v>
      </c>
      <c r="J6">
        <v>0</v>
      </c>
      <c r="K6">
        <v>292</v>
      </c>
    </row>
    <row r="7" spans="1:11" hidden="1" x14ac:dyDescent="0.35">
      <c r="A7" t="s">
        <v>50</v>
      </c>
      <c r="B7" t="s">
        <v>84</v>
      </c>
      <c r="C7" t="s">
        <v>710</v>
      </c>
      <c r="D7">
        <v>0</v>
      </c>
      <c r="E7">
        <v>0.9</v>
      </c>
      <c r="F7">
        <v>0.125</v>
      </c>
      <c r="G7">
        <v>0.1</v>
      </c>
      <c r="H7">
        <v>0</v>
      </c>
      <c r="I7">
        <v>0</v>
      </c>
      <c r="J7">
        <v>0</v>
      </c>
      <c r="K7" t="s">
        <v>711</v>
      </c>
    </row>
    <row r="8" spans="1:11" hidden="1" x14ac:dyDescent="0.35">
      <c r="A8" t="s">
        <v>50</v>
      </c>
      <c r="B8" t="s">
        <v>85</v>
      </c>
      <c r="C8" t="s">
        <v>710</v>
      </c>
      <c r="D8">
        <v>0</v>
      </c>
      <c r="E8">
        <v>0.9</v>
      </c>
      <c r="F8">
        <v>0.125</v>
      </c>
      <c r="G8">
        <v>0.1</v>
      </c>
      <c r="H8">
        <v>0</v>
      </c>
      <c r="I8">
        <v>0</v>
      </c>
      <c r="J8">
        <v>0</v>
      </c>
      <c r="K8" t="s">
        <v>711</v>
      </c>
    </row>
    <row r="9" spans="1:11" hidden="1" x14ac:dyDescent="0.35">
      <c r="A9" t="s">
        <v>50</v>
      </c>
      <c r="B9" t="s">
        <v>93</v>
      </c>
      <c r="C9" t="s">
        <v>710</v>
      </c>
      <c r="D9">
        <v>0</v>
      </c>
      <c r="E9">
        <v>0.9</v>
      </c>
      <c r="F9">
        <v>0.125</v>
      </c>
      <c r="G9">
        <v>0.1</v>
      </c>
      <c r="H9">
        <v>0</v>
      </c>
      <c r="I9">
        <v>0</v>
      </c>
      <c r="J9">
        <v>0</v>
      </c>
      <c r="K9">
        <v>3.5</v>
      </c>
    </row>
    <row r="10" spans="1:11" hidden="1" x14ac:dyDescent="0.35">
      <c r="A10" t="s">
        <v>50</v>
      </c>
      <c r="B10" t="s">
        <v>89</v>
      </c>
      <c r="C10" t="s">
        <v>710</v>
      </c>
      <c r="D10">
        <v>0</v>
      </c>
      <c r="E10">
        <v>0.9</v>
      </c>
      <c r="F10">
        <v>6.25E-2</v>
      </c>
      <c r="G10">
        <v>0.05</v>
      </c>
      <c r="H10">
        <v>0</v>
      </c>
      <c r="I10">
        <v>0</v>
      </c>
      <c r="J10">
        <v>0</v>
      </c>
    </row>
    <row r="11" spans="1:11" hidden="1" x14ac:dyDescent="0.35">
      <c r="A11" t="s">
        <v>50</v>
      </c>
      <c r="B11" t="s">
        <v>25</v>
      </c>
      <c r="C11" t="s">
        <v>710</v>
      </c>
      <c r="D11">
        <v>0</v>
      </c>
      <c r="E11">
        <v>0.9</v>
      </c>
      <c r="F11">
        <v>6.25E-2</v>
      </c>
      <c r="G11">
        <v>0.05</v>
      </c>
      <c r="H11">
        <v>0</v>
      </c>
      <c r="I11">
        <v>0</v>
      </c>
      <c r="J11">
        <v>0</v>
      </c>
      <c r="K11">
        <v>3</v>
      </c>
    </row>
    <row r="12" spans="1:11" hidden="1" x14ac:dyDescent="0.35">
      <c r="A12" t="s">
        <v>70</v>
      </c>
      <c r="B12" t="s">
        <v>51</v>
      </c>
      <c r="C12" t="s">
        <v>710</v>
      </c>
      <c r="D12">
        <v>0</v>
      </c>
      <c r="E12">
        <v>0.9</v>
      </c>
      <c r="F12">
        <v>0.125</v>
      </c>
      <c r="G12">
        <v>0.1</v>
      </c>
      <c r="H12">
        <v>0</v>
      </c>
      <c r="I12">
        <v>0</v>
      </c>
      <c r="J12">
        <v>0</v>
      </c>
      <c r="K12">
        <v>180</v>
      </c>
    </row>
    <row r="13" spans="1:11" x14ac:dyDescent="0.35">
      <c r="A13" t="s">
        <v>70</v>
      </c>
      <c r="B13" t="s">
        <v>29</v>
      </c>
      <c r="C13" t="s">
        <v>710</v>
      </c>
      <c r="D13">
        <v>0</v>
      </c>
      <c r="E13">
        <v>0.9</v>
      </c>
      <c r="F13">
        <v>0.125</v>
      </c>
      <c r="G13">
        <v>0.1</v>
      </c>
      <c r="H13">
        <v>0</v>
      </c>
      <c r="I13">
        <v>0</v>
      </c>
      <c r="J13">
        <v>0</v>
      </c>
      <c r="K13">
        <v>10</v>
      </c>
    </row>
    <row r="14" spans="1:11" hidden="1" x14ac:dyDescent="0.35">
      <c r="A14" t="s">
        <v>70</v>
      </c>
      <c r="B14" t="s">
        <v>11</v>
      </c>
      <c r="C14" t="s">
        <v>710</v>
      </c>
      <c r="D14">
        <v>0</v>
      </c>
      <c r="E14">
        <v>0.9</v>
      </c>
      <c r="F14">
        <v>0.125</v>
      </c>
      <c r="G14">
        <v>0.1</v>
      </c>
      <c r="H14">
        <v>0</v>
      </c>
      <c r="I14">
        <v>0</v>
      </c>
      <c r="J14">
        <v>0</v>
      </c>
      <c r="K14">
        <v>1</v>
      </c>
    </row>
    <row r="15" spans="1:11" hidden="1" x14ac:dyDescent="0.35">
      <c r="A15" t="s">
        <v>70</v>
      </c>
      <c r="B15" t="s">
        <v>12</v>
      </c>
      <c r="C15" t="s">
        <v>710</v>
      </c>
      <c r="D15" t="s">
        <v>711</v>
      </c>
      <c r="E15">
        <v>0.9</v>
      </c>
      <c r="F15">
        <v>0</v>
      </c>
      <c r="G15">
        <v>0.2</v>
      </c>
      <c r="H15">
        <v>0</v>
      </c>
      <c r="I15">
        <v>0</v>
      </c>
      <c r="J15">
        <v>0</v>
      </c>
      <c r="K15">
        <v>0</v>
      </c>
    </row>
    <row r="16" spans="1:11" hidden="1" x14ac:dyDescent="0.35">
      <c r="A16" t="s">
        <v>70</v>
      </c>
      <c r="B16" t="s">
        <v>13</v>
      </c>
      <c r="C16" t="s">
        <v>710</v>
      </c>
      <c r="D16">
        <v>0</v>
      </c>
      <c r="E16">
        <v>0.9</v>
      </c>
      <c r="F16">
        <v>0.125</v>
      </c>
      <c r="G16">
        <v>0.1</v>
      </c>
      <c r="H16">
        <v>0</v>
      </c>
      <c r="I16">
        <v>0</v>
      </c>
      <c r="J16">
        <v>0</v>
      </c>
      <c r="K16">
        <v>292</v>
      </c>
    </row>
    <row r="17" spans="1:11" hidden="1" x14ac:dyDescent="0.35">
      <c r="A17" t="s">
        <v>70</v>
      </c>
      <c r="B17" t="s">
        <v>84</v>
      </c>
      <c r="C17" t="s">
        <v>710</v>
      </c>
      <c r="D17">
        <v>0</v>
      </c>
      <c r="E17">
        <v>0.9</v>
      </c>
      <c r="F17">
        <v>0.125</v>
      </c>
      <c r="G17">
        <v>0.1</v>
      </c>
      <c r="H17">
        <v>0</v>
      </c>
      <c r="I17">
        <v>0</v>
      </c>
      <c r="J17">
        <v>0</v>
      </c>
      <c r="K17" t="s">
        <v>711</v>
      </c>
    </row>
    <row r="18" spans="1:11" hidden="1" x14ac:dyDescent="0.35">
      <c r="A18" t="s">
        <v>70</v>
      </c>
      <c r="B18" t="s">
        <v>85</v>
      </c>
      <c r="C18" t="s">
        <v>710</v>
      </c>
      <c r="D18">
        <v>0</v>
      </c>
      <c r="E18">
        <v>0.9</v>
      </c>
      <c r="F18">
        <v>0.125</v>
      </c>
      <c r="G18">
        <v>0.1</v>
      </c>
      <c r="H18">
        <v>0</v>
      </c>
      <c r="I18">
        <v>0</v>
      </c>
      <c r="J18">
        <v>0</v>
      </c>
      <c r="K18" t="s">
        <v>711</v>
      </c>
    </row>
    <row r="19" spans="1:11" hidden="1" x14ac:dyDescent="0.35">
      <c r="A19" t="s">
        <v>70</v>
      </c>
      <c r="B19" t="s">
        <v>93</v>
      </c>
      <c r="C19" t="s">
        <v>710</v>
      </c>
      <c r="D19">
        <v>0</v>
      </c>
      <c r="E19">
        <v>0.9</v>
      </c>
      <c r="F19">
        <v>0.125</v>
      </c>
      <c r="G19">
        <v>0.1</v>
      </c>
      <c r="H19">
        <v>0</v>
      </c>
      <c r="I19">
        <v>0</v>
      </c>
      <c r="J19">
        <v>0</v>
      </c>
      <c r="K19" s="49"/>
    </row>
    <row r="20" spans="1:11" hidden="1" x14ac:dyDescent="0.35">
      <c r="A20" t="s">
        <v>70</v>
      </c>
      <c r="B20" t="s">
        <v>89</v>
      </c>
      <c r="C20" t="s">
        <v>710</v>
      </c>
      <c r="D20">
        <v>0</v>
      </c>
      <c r="E20">
        <v>0.9</v>
      </c>
      <c r="F20">
        <v>6.25E-2</v>
      </c>
      <c r="G20">
        <v>0.05</v>
      </c>
      <c r="H20">
        <v>0</v>
      </c>
      <c r="I20">
        <v>0</v>
      </c>
      <c r="J20">
        <v>0</v>
      </c>
      <c r="K20">
        <v>90</v>
      </c>
    </row>
    <row r="21" spans="1:11" hidden="1" x14ac:dyDescent="0.35">
      <c r="A21" t="s">
        <v>70</v>
      </c>
      <c r="B21" t="s">
        <v>25</v>
      </c>
      <c r="C21" t="s">
        <v>710</v>
      </c>
      <c r="D21">
        <v>0</v>
      </c>
      <c r="E21">
        <v>0.9</v>
      </c>
      <c r="F21">
        <v>6.25E-2</v>
      </c>
      <c r="G21">
        <v>0.05</v>
      </c>
      <c r="H21">
        <v>0</v>
      </c>
      <c r="I21">
        <v>0</v>
      </c>
      <c r="J21">
        <v>0</v>
      </c>
      <c r="K21">
        <v>3</v>
      </c>
    </row>
    <row r="22" spans="1:11" hidden="1" x14ac:dyDescent="0.35">
      <c r="A22" t="s">
        <v>34</v>
      </c>
      <c r="B22" t="s">
        <v>51</v>
      </c>
      <c r="C22" t="s">
        <v>710</v>
      </c>
      <c r="D22">
        <v>0.24102564102564103</v>
      </c>
      <c r="E22">
        <v>0.9</v>
      </c>
      <c r="F22">
        <v>0.1</v>
      </c>
      <c r="G22">
        <v>0.1</v>
      </c>
      <c r="H22">
        <v>0</v>
      </c>
      <c r="I22">
        <v>21</v>
      </c>
      <c r="J22">
        <v>26</v>
      </c>
      <c r="K22">
        <v>195</v>
      </c>
    </row>
    <row r="23" spans="1:11" x14ac:dyDescent="0.35">
      <c r="A23" t="s">
        <v>34</v>
      </c>
      <c r="B23" t="s">
        <v>29</v>
      </c>
      <c r="C23" t="s">
        <v>710</v>
      </c>
      <c r="D23">
        <v>0.64615384615384619</v>
      </c>
      <c r="E23">
        <v>0.9</v>
      </c>
      <c r="F23">
        <v>0.1</v>
      </c>
      <c r="G23">
        <v>0.1</v>
      </c>
      <c r="H23">
        <v>0</v>
      </c>
      <c r="I23">
        <v>20</v>
      </c>
      <c r="J23">
        <v>22</v>
      </c>
      <c r="K23">
        <v>65</v>
      </c>
    </row>
    <row r="24" spans="1:11" hidden="1" x14ac:dyDescent="0.35">
      <c r="A24" t="s">
        <v>34</v>
      </c>
      <c r="B24" t="s">
        <v>11</v>
      </c>
      <c r="C24" t="s">
        <v>710</v>
      </c>
      <c r="D24">
        <v>0.375</v>
      </c>
      <c r="E24">
        <v>0.9</v>
      </c>
      <c r="F24">
        <v>0.1</v>
      </c>
      <c r="G24">
        <v>0.1</v>
      </c>
      <c r="H24">
        <v>6</v>
      </c>
      <c r="I24">
        <v>6</v>
      </c>
      <c r="J24">
        <v>6</v>
      </c>
      <c r="K24">
        <v>16</v>
      </c>
    </row>
    <row r="25" spans="1:11" hidden="1" x14ac:dyDescent="0.35">
      <c r="A25" t="s">
        <v>34</v>
      </c>
      <c r="B25" t="s">
        <v>12</v>
      </c>
      <c r="C25" t="s">
        <v>710</v>
      </c>
      <c r="D25">
        <v>0</v>
      </c>
      <c r="E25">
        <v>0.9</v>
      </c>
      <c r="F25">
        <v>0.2</v>
      </c>
      <c r="G25">
        <v>0.2</v>
      </c>
      <c r="H25">
        <v>0</v>
      </c>
      <c r="I25">
        <v>0</v>
      </c>
      <c r="J25">
        <v>0</v>
      </c>
      <c r="K25">
        <v>624282058</v>
      </c>
    </row>
    <row r="26" spans="1:11" hidden="1" x14ac:dyDescent="0.35">
      <c r="A26" t="s">
        <v>34</v>
      </c>
      <c r="B26" t="s">
        <v>13</v>
      </c>
      <c r="C26" t="s">
        <v>710</v>
      </c>
      <c r="D26">
        <v>0</v>
      </c>
      <c r="E26">
        <v>0.9</v>
      </c>
      <c r="F26">
        <v>0.1</v>
      </c>
      <c r="G26">
        <v>0.1</v>
      </c>
      <c r="H26">
        <v>0</v>
      </c>
      <c r="I26">
        <v>0</v>
      </c>
      <c r="J26">
        <v>0</v>
      </c>
      <c r="K26">
        <v>292</v>
      </c>
    </row>
    <row r="27" spans="1:11" hidden="1" x14ac:dyDescent="0.35">
      <c r="A27" t="s">
        <v>34</v>
      </c>
      <c r="B27" t="s">
        <v>84</v>
      </c>
      <c r="C27" t="s">
        <v>710</v>
      </c>
      <c r="D27">
        <v>0</v>
      </c>
      <c r="E27">
        <v>0.9</v>
      </c>
      <c r="F27">
        <v>0.1</v>
      </c>
      <c r="G27">
        <v>0.1</v>
      </c>
      <c r="H27">
        <v>0</v>
      </c>
      <c r="I27">
        <v>0</v>
      </c>
      <c r="J27">
        <v>0</v>
      </c>
      <c r="K27" t="s">
        <v>711</v>
      </c>
    </row>
    <row r="28" spans="1:11" hidden="1" x14ac:dyDescent="0.35">
      <c r="A28" t="s">
        <v>34</v>
      </c>
      <c r="B28" t="s">
        <v>85</v>
      </c>
      <c r="C28" t="s">
        <v>710</v>
      </c>
      <c r="D28">
        <v>0</v>
      </c>
      <c r="E28">
        <v>0.9</v>
      </c>
      <c r="F28">
        <v>0.1</v>
      </c>
      <c r="G28">
        <v>0.1</v>
      </c>
      <c r="H28">
        <v>0</v>
      </c>
      <c r="I28">
        <v>0</v>
      </c>
      <c r="J28">
        <v>0</v>
      </c>
      <c r="K28" t="s">
        <v>711</v>
      </c>
    </row>
    <row r="29" spans="1:11" hidden="1" x14ac:dyDescent="0.35">
      <c r="A29" t="s">
        <v>34</v>
      </c>
      <c r="B29" t="s">
        <v>93</v>
      </c>
      <c r="C29" t="s">
        <v>710</v>
      </c>
      <c r="D29">
        <v>1.5</v>
      </c>
      <c r="E29">
        <v>0.9</v>
      </c>
      <c r="F29">
        <v>0.1</v>
      </c>
      <c r="G29">
        <v>0.1</v>
      </c>
      <c r="H29">
        <v>0</v>
      </c>
      <c r="I29">
        <v>1</v>
      </c>
      <c r="J29">
        <v>15</v>
      </c>
      <c r="K29">
        <v>3.5</v>
      </c>
    </row>
    <row r="30" spans="1:11" hidden="1" x14ac:dyDescent="0.35">
      <c r="A30" t="s">
        <v>34</v>
      </c>
      <c r="B30" t="s">
        <v>89</v>
      </c>
      <c r="C30" t="s">
        <v>710</v>
      </c>
      <c r="D30">
        <v>1.5</v>
      </c>
      <c r="E30">
        <v>0.9</v>
      </c>
      <c r="F30">
        <v>0.05</v>
      </c>
      <c r="G30">
        <v>0.05</v>
      </c>
    </row>
    <row r="31" spans="1:11" hidden="1" x14ac:dyDescent="0.35">
      <c r="A31" t="s">
        <v>34</v>
      </c>
      <c r="B31" t="s">
        <v>25</v>
      </c>
      <c r="C31" t="s">
        <v>710</v>
      </c>
      <c r="D31">
        <v>0.33333333333333331</v>
      </c>
      <c r="E31">
        <v>0.9</v>
      </c>
      <c r="F31">
        <v>0.05</v>
      </c>
      <c r="G31">
        <v>0.05</v>
      </c>
      <c r="H31">
        <v>0</v>
      </c>
      <c r="I31">
        <v>1</v>
      </c>
      <c r="J31">
        <v>0</v>
      </c>
      <c r="K31">
        <v>3</v>
      </c>
    </row>
    <row r="32" spans="1:11" hidden="1" x14ac:dyDescent="0.35">
      <c r="A32" t="s">
        <v>249</v>
      </c>
      <c r="B32" t="s">
        <v>51</v>
      </c>
      <c r="C32" t="s">
        <v>710</v>
      </c>
      <c r="D32">
        <v>0.2388888888888889</v>
      </c>
      <c r="E32">
        <v>0.9</v>
      </c>
      <c r="F32">
        <v>0.1</v>
      </c>
      <c r="G32">
        <v>0.1</v>
      </c>
      <c r="H32">
        <v>0</v>
      </c>
      <c r="I32">
        <v>17</v>
      </c>
      <c r="J32">
        <v>26</v>
      </c>
      <c r="K32">
        <v>180</v>
      </c>
    </row>
    <row r="33" spans="1:11" x14ac:dyDescent="0.35">
      <c r="A33" t="s">
        <v>249</v>
      </c>
      <c r="B33" t="s">
        <v>29</v>
      </c>
      <c r="C33" t="s">
        <v>710</v>
      </c>
      <c r="D33">
        <v>0.13750000000000001</v>
      </c>
      <c r="E33">
        <v>0.9</v>
      </c>
      <c r="F33">
        <v>0.1</v>
      </c>
      <c r="G33">
        <v>0.1</v>
      </c>
      <c r="H33">
        <v>0</v>
      </c>
      <c r="I33">
        <v>13</v>
      </c>
      <c r="J33">
        <v>9</v>
      </c>
      <c r="K33">
        <v>160</v>
      </c>
    </row>
    <row r="34" spans="1:11" hidden="1" x14ac:dyDescent="0.35">
      <c r="A34" t="s">
        <v>249</v>
      </c>
      <c r="B34" t="s">
        <v>11</v>
      </c>
      <c r="C34" t="s">
        <v>710</v>
      </c>
      <c r="D34">
        <v>0</v>
      </c>
      <c r="E34">
        <v>0.9</v>
      </c>
      <c r="F34">
        <v>0.1</v>
      </c>
      <c r="G34">
        <v>0.1</v>
      </c>
      <c r="H34">
        <v>0</v>
      </c>
      <c r="I34">
        <v>0</v>
      </c>
      <c r="J34">
        <v>0</v>
      </c>
      <c r="K34">
        <v>1</v>
      </c>
    </row>
    <row r="35" spans="1:11" hidden="1" x14ac:dyDescent="0.35">
      <c r="A35" t="s">
        <v>249</v>
      </c>
      <c r="B35" t="s">
        <v>12</v>
      </c>
      <c r="C35" t="s">
        <v>710</v>
      </c>
      <c r="D35">
        <v>0</v>
      </c>
      <c r="E35">
        <v>0.9</v>
      </c>
      <c r="F35">
        <v>0.2</v>
      </c>
      <c r="G35">
        <v>0.2</v>
      </c>
      <c r="H35">
        <v>0</v>
      </c>
      <c r="I35">
        <v>0</v>
      </c>
      <c r="J35">
        <v>0</v>
      </c>
      <c r="K35" s="49"/>
    </row>
    <row r="36" spans="1:11" hidden="1" x14ac:dyDescent="0.35">
      <c r="A36" t="s">
        <v>249</v>
      </c>
      <c r="B36" t="s">
        <v>13</v>
      </c>
      <c r="C36" t="s">
        <v>710</v>
      </c>
      <c r="D36">
        <v>0</v>
      </c>
      <c r="E36">
        <v>0.9</v>
      </c>
      <c r="F36">
        <v>0.1</v>
      </c>
      <c r="G36">
        <v>0.1</v>
      </c>
      <c r="H36">
        <v>0</v>
      </c>
      <c r="I36">
        <v>0</v>
      </c>
      <c r="J36">
        <v>0</v>
      </c>
      <c r="K36">
        <v>292</v>
      </c>
    </row>
    <row r="37" spans="1:11" hidden="1" x14ac:dyDescent="0.35">
      <c r="A37" t="s">
        <v>249</v>
      </c>
      <c r="B37" t="s">
        <v>84</v>
      </c>
      <c r="C37" t="s">
        <v>710</v>
      </c>
      <c r="D37">
        <v>1</v>
      </c>
      <c r="E37">
        <v>0.9</v>
      </c>
      <c r="F37">
        <v>0.1</v>
      </c>
      <c r="G37">
        <v>0.1</v>
      </c>
      <c r="H37">
        <v>1</v>
      </c>
      <c r="I37">
        <v>0</v>
      </c>
      <c r="J37">
        <v>0</v>
      </c>
      <c r="K37">
        <v>1</v>
      </c>
    </row>
    <row r="38" spans="1:11" hidden="1" x14ac:dyDescent="0.35">
      <c r="A38" t="s">
        <v>249</v>
      </c>
      <c r="B38" t="s">
        <v>85</v>
      </c>
      <c r="C38" t="s">
        <v>710</v>
      </c>
      <c r="D38">
        <v>0</v>
      </c>
      <c r="E38">
        <v>0.9</v>
      </c>
      <c r="F38">
        <v>0.1</v>
      </c>
      <c r="G38">
        <v>0.1</v>
      </c>
      <c r="H38">
        <v>0</v>
      </c>
      <c r="I38">
        <v>0</v>
      </c>
      <c r="J38">
        <v>0</v>
      </c>
      <c r="K38">
        <v>0</v>
      </c>
    </row>
    <row r="39" spans="1:11" hidden="1" x14ac:dyDescent="0.35">
      <c r="A39" t="s">
        <v>249</v>
      </c>
      <c r="B39" t="s">
        <v>93</v>
      </c>
      <c r="C39" t="s">
        <v>710</v>
      </c>
      <c r="D39">
        <v>1.5</v>
      </c>
      <c r="E39">
        <v>0.9</v>
      </c>
      <c r="F39">
        <v>0.1</v>
      </c>
      <c r="G39">
        <v>0.1</v>
      </c>
      <c r="H39">
        <v>0</v>
      </c>
      <c r="I39">
        <v>1</v>
      </c>
      <c r="J39">
        <v>15</v>
      </c>
      <c r="K39" s="49"/>
    </row>
    <row r="40" spans="1:11" hidden="1" x14ac:dyDescent="0.35">
      <c r="A40" t="s">
        <v>249</v>
      </c>
      <c r="B40" t="s">
        <v>89</v>
      </c>
      <c r="C40" t="s">
        <v>710</v>
      </c>
      <c r="D40">
        <v>1.5</v>
      </c>
      <c r="E40">
        <v>0.9</v>
      </c>
      <c r="F40">
        <v>0.05</v>
      </c>
      <c r="G40">
        <v>0.05</v>
      </c>
      <c r="H40">
        <v>0</v>
      </c>
      <c r="I40">
        <v>799</v>
      </c>
      <c r="J40">
        <v>0</v>
      </c>
      <c r="K40">
        <v>90</v>
      </c>
    </row>
    <row r="41" spans="1:11" hidden="1" x14ac:dyDescent="0.35">
      <c r="A41" t="s">
        <v>249</v>
      </c>
      <c r="B41" t="s">
        <v>25</v>
      </c>
      <c r="C41" t="s">
        <v>710</v>
      </c>
      <c r="D41">
        <v>0.33333333333333331</v>
      </c>
      <c r="E41">
        <v>0.9</v>
      </c>
      <c r="F41">
        <v>0.05</v>
      </c>
      <c r="G41">
        <v>0.05</v>
      </c>
      <c r="H41">
        <v>0</v>
      </c>
      <c r="I41">
        <v>1</v>
      </c>
      <c r="J41">
        <v>0</v>
      </c>
      <c r="K41">
        <v>3</v>
      </c>
    </row>
    <row r="42" spans="1:11" hidden="1" x14ac:dyDescent="0.35">
      <c r="A42" t="s">
        <v>32</v>
      </c>
      <c r="B42" t="s">
        <v>51</v>
      </c>
      <c r="C42" t="s">
        <v>710</v>
      </c>
      <c r="D42">
        <v>0.58333333333333337</v>
      </c>
      <c r="E42">
        <v>0.9</v>
      </c>
      <c r="F42">
        <v>0.1</v>
      </c>
      <c r="G42">
        <v>0.1</v>
      </c>
      <c r="H42">
        <v>18</v>
      </c>
      <c r="I42">
        <v>71</v>
      </c>
      <c r="J42">
        <v>58</v>
      </c>
      <c r="K42">
        <v>252</v>
      </c>
    </row>
    <row r="43" spans="1:11" x14ac:dyDescent="0.35">
      <c r="A43" t="s">
        <v>32</v>
      </c>
      <c r="B43" t="s">
        <v>29</v>
      </c>
      <c r="C43" t="s">
        <v>710</v>
      </c>
      <c r="D43">
        <v>1.3809523809523809</v>
      </c>
      <c r="E43">
        <v>0.9</v>
      </c>
      <c r="F43">
        <v>0.1</v>
      </c>
      <c r="G43">
        <v>0.1</v>
      </c>
      <c r="H43">
        <v>16</v>
      </c>
      <c r="I43">
        <v>55</v>
      </c>
      <c r="J43">
        <v>45</v>
      </c>
      <c r="K43">
        <v>84</v>
      </c>
    </row>
    <row r="44" spans="1:11" hidden="1" x14ac:dyDescent="0.35">
      <c r="A44" t="s">
        <v>32</v>
      </c>
      <c r="B44" t="s">
        <v>11</v>
      </c>
      <c r="C44" t="s">
        <v>710</v>
      </c>
      <c r="D44">
        <v>1.3333333333333333</v>
      </c>
      <c r="E44">
        <v>0.9</v>
      </c>
      <c r="F44">
        <v>0.1</v>
      </c>
      <c r="G44">
        <v>0.1</v>
      </c>
      <c r="H44">
        <v>8</v>
      </c>
      <c r="I44">
        <v>5</v>
      </c>
      <c r="J44">
        <v>5</v>
      </c>
      <c r="K44">
        <v>6</v>
      </c>
    </row>
    <row r="45" spans="1:11" hidden="1" x14ac:dyDescent="0.35">
      <c r="A45" t="s">
        <v>32</v>
      </c>
      <c r="B45" t="s">
        <v>12</v>
      </c>
      <c r="C45" t="s">
        <v>710</v>
      </c>
      <c r="D45">
        <v>0</v>
      </c>
      <c r="E45">
        <v>0.9</v>
      </c>
      <c r="F45">
        <v>0.2</v>
      </c>
      <c r="G45">
        <v>0.2</v>
      </c>
      <c r="H45">
        <v>0</v>
      </c>
      <c r="I45">
        <v>0</v>
      </c>
      <c r="J45">
        <v>0</v>
      </c>
      <c r="K45">
        <v>2559481741</v>
      </c>
    </row>
    <row r="46" spans="1:11" hidden="1" x14ac:dyDescent="0.35">
      <c r="A46" t="s">
        <v>32</v>
      </c>
      <c r="B46" t="s">
        <v>13</v>
      </c>
      <c r="C46" t="s">
        <v>710</v>
      </c>
      <c r="D46">
        <v>0</v>
      </c>
      <c r="E46">
        <v>0.9</v>
      </c>
      <c r="F46">
        <v>0.1</v>
      </c>
      <c r="G46">
        <v>0.1</v>
      </c>
      <c r="H46">
        <v>0</v>
      </c>
      <c r="I46">
        <v>0</v>
      </c>
      <c r="J46">
        <v>0</v>
      </c>
      <c r="K46">
        <v>292</v>
      </c>
    </row>
    <row r="47" spans="1:11" hidden="1" x14ac:dyDescent="0.35">
      <c r="A47" t="s">
        <v>32</v>
      </c>
      <c r="B47" t="s">
        <v>84</v>
      </c>
      <c r="C47" t="s">
        <v>710</v>
      </c>
      <c r="D47">
        <v>0</v>
      </c>
      <c r="E47">
        <v>0.9</v>
      </c>
      <c r="F47">
        <v>0.1</v>
      </c>
      <c r="G47">
        <v>0.1</v>
      </c>
      <c r="H47">
        <v>0</v>
      </c>
      <c r="I47">
        <v>0</v>
      </c>
      <c r="J47">
        <v>0</v>
      </c>
      <c r="K47" t="s">
        <v>711</v>
      </c>
    </row>
    <row r="48" spans="1:11" hidden="1" x14ac:dyDescent="0.35">
      <c r="A48" t="s">
        <v>32</v>
      </c>
      <c r="B48" t="s">
        <v>85</v>
      </c>
      <c r="C48" t="s">
        <v>710</v>
      </c>
      <c r="D48">
        <v>0</v>
      </c>
      <c r="E48">
        <v>0.9</v>
      </c>
      <c r="F48">
        <v>0.1</v>
      </c>
      <c r="G48">
        <v>0.1</v>
      </c>
      <c r="H48">
        <v>0</v>
      </c>
      <c r="I48">
        <v>0</v>
      </c>
      <c r="J48">
        <v>0</v>
      </c>
      <c r="K48" t="s">
        <v>711</v>
      </c>
    </row>
    <row r="49" spans="1:11" hidden="1" x14ac:dyDescent="0.35">
      <c r="A49" t="s">
        <v>32</v>
      </c>
      <c r="B49" t="s">
        <v>93</v>
      </c>
      <c r="C49" t="s">
        <v>710</v>
      </c>
      <c r="D49">
        <v>0.5714285714285714</v>
      </c>
      <c r="E49">
        <v>0.9</v>
      </c>
      <c r="F49">
        <v>0.1</v>
      </c>
      <c r="G49">
        <v>0.1</v>
      </c>
      <c r="H49">
        <v>0</v>
      </c>
      <c r="I49">
        <v>0</v>
      </c>
      <c r="J49">
        <v>2</v>
      </c>
      <c r="K49">
        <v>3.5</v>
      </c>
    </row>
    <row r="50" spans="1:11" hidden="1" x14ac:dyDescent="0.35">
      <c r="A50" t="s">
        <v>32</v>
      </c>
      <c r="B50" t="s">
        <v>89</v>
      </c>
      <c r="C50" t="s">
        <v>710</v>
      </c>
      <c r="D50">
        <v>0</v>
      </c>
      <c r="E50">
        <v>0.9</v>
      </c>
      <c r="F50">
        <v>0.05</v>
      </c>
      <c r="G50">
        <v>0.05</v>
      </c>
    </row>
    <row r="51" spans="1:11" hidden="1" x14ac:dyDescent="0.35">
      <c r="A51" t="s">
        <v>32</v>
      </c>
      <c r="B51" t="s">
        <v>25</v>
      </c>
      <c r="C51" t="s">
        <v>710</v>
      </c>
      <c r="D51">
        <v>0</v>
      </c>
      <c r="E51">
        <v>0.9</v>
      </c>
      <c r="F51">
        <v>0.05</v>
      </c>
      <c r="G51">
        <v>0.05</v>
      </c>
      <c r="H51">
        <v>0</v>
      </c>
      <c r="I51">
        <v>0</v>
      </c>
      <c r="J51">
        <v>0</v>
      </c>
      <c r="K51">
        <v>3</v>
      </c>
    </row>
    <row r="52" spans="1:11" hidden="1" x14ac:dyDescent="0.35">
      <c r="A52" t="s">
        <v>63</v>
      </c>
      <c r="B52" t="s">
        <v>51</v>
      </c>
      <c r="C52" t="s">
        <v>710</v>
      </c>
      <c r="D52">
        <v>0.2</v>
      </c>
      <c r="E52">
        <v>0.9</v>
      </c>
      <c r="F52">
        <v>0.1</v>
      </c>
      <c r="G52">
        <v>0.1</v>
      </c>
      <c r="H52">
        <v>0</v>
      </c>
      <c r="I52">
        <v>0</v>
      </c>
      <c r="J52">
        <v>36</v>
      </c>
      <c r="K52">
        <v>180</v>
      </c>
    </row>
    <row r="53" spans="1:11" x14ac:dyDescent="0.35">
      <c r="A53" t="s">
        <v>63</v>
      </c>
      <c r="B53" t="s">
        <v>29</v>
      </c>
      <c r="C53" t="s">
        <v>710</v>
      </c>
      <c r="D53">
        <v>9.0476190476190474E-2</v>
      </c>
      <c r="E53">
        <v>0.9</v>
      </c>
      <c r="F53">
        <v>0.1</v>
      </c>
      <c r="G53">
        <v>0.1</v>
      </c>
      <c r="H53">
        <v>0</v>
      </c>
      <c r="I53">
        <v>0</v>
      </c>
      <c r="J53">
        <v>19</v>
      </c>
      <c r="K53">
        <v>210</v>
      </c>
    </row>
    <row r="54" spans="1:11" hidden="1" x14ac:dyDescent="0.35">
      <c r="A54" t="s">
        <v>63</v>
      </c>
      <c r="B54" t="s">
        <v>11</v>
      </c>
      <c r="C54" t="s">
        <v>710</v>
      </c>
      <c r="D54">
        <v>0</v>
      </c>
      <c r="E54">
        <v>0.9</v>
      </c>
      <c r="F54">
        <v>0.1</v>
      </c>
      <c r="G54">
        <v>0.1</v>
      </c>
      <c r="H54">
        <v>0</v>
      </c>
      <c r="I54">
        <v>0</v>
      </c>
      <c r="J54">
        <v>0</v>
      </c>
      <c r="K54">
        <v>1</v>
      </c>
    </row>
    <row r="55" spans="1:11" hidden="1" x14ac:dyDescent="0.35">
      <c r="A55" t="s">
        <v>63</v>
      </c>
      <c r="B55" t="s">
        <v>12</v>
      </c>
      <c r="C55" t="s">
        <v>710</v>
      </c>
      <c r="D55">
        <v>0</v>
      </c>
      <c r="E55">
        <v>0.9</v>
      </c>
      <c r="F55">
        <v>0.2</v>
      </c>
      <c r="G55">
        <v>0.2</v>
      </c>
      <c r="H55">
        <v>0</v>
      </c>
      <c r="I55">
        <v>0</v>
      </c>
      <c r="J55">
        <v>0</v>
      </c>
      <c r="K55" s="49"/>
    </row>
    <row r="56" spans="1:11" hidden="1" x14ac:dyDescent="0.35">
      <c r="A56" t="s">
        <v>63</v>
      </c>
      <c r="B56" t="s">
        <v>13</v>
      </c>
      <c r="C56" t="s">
        <v>710</v>
      </c>
      <c r="D56">
        <v>0</v>
      </c>
      <c r="E56">
        <v>0.9</v>
      </c>
      <c r="F56">
        <v>0.1</v>
      </c>
      <c r="G56">
        <v>0.1</v>
      </c>
      <c r="H56">
        <v>0</v>
      </c>
      <c r="I56">
        <v>0</v>
      </c>
      <c r="J56">
        <v>0</v>
      </c>
      <c r="K56">
        <v>292</v>
      </c>
    </row>
    <row r="57" spans="1:11" hidden="1" x14ac:dyDescent="0.35">
      <c r="A57" t="s">
        <v>63</v>
      </c>
      <c r="B57" t="s">
        <v>84</v>
      </c>
      <c r="C57" t="s">
        <v>710</v>
      </c>
      <c r="D57">
        <v>0</v>
      </c>
      <c r="E57">
        <v>0.9</v>
      </c>
      <c r="F57">
        <v>0.1</v>
      </c>
      <c r="G57">
        <v>0.1</v>
      </c>
      <c r="H57">
        <v>0</v>
      </c>
      <c r="I57">
        <v>0</v>
      </c>
      <c r="J57">
        <v>0</v>
      </c>
      <c r="K57" t="s">
        <v>711</v>
      </c>
    </row>
    <row r="58" spans="1:11" hidden="1" x14ac:dyDescent="0.35">
      <c r="A58" t="s">
        <v>63</v>
      </c>
      <c r="B58" t="s">
        <v>85</v>
      </c>
      <c r="C58" t="s">
        <v>710</v>
      </c>
      <c r="D58">
        <v>0</v>
      </c>
      <c r="E58">
        <v>0.9</v>
      </c>
      <c r="F58">
        <v>0.1</v>
      </c>
      <c r="G58">
        <v>0.1</v>
      </c>
      <c r="H58">
        <v>0</v>
      </c>
      <c r="I58">
        <v>0</v>
      </c>
      <c r="J58">
        <v>0</v>
      </c>
      <c r="K58" t="s">
        <v>711</v>
      </c>
    </row>
    <row r="59" spans="1:11" hidden="1" x14ac:dyDescent="0.35">
      <c r="A59" t="s">
        <v>63</v>
      </c>
      <c r="B59" t="s">
        <v>93</v>
      </c>
      <c r="C59" t="s">
        <v>710</v>
      </c>
      <c r="D59">
        <v>0.5714285714285714</v>
      </c>
      <c r="E59">
        <v>0.9</v>
      </c>
      <c r="F59">
        <v>0.1</v>
      </c>
      <c r="G59">
        <v>0.1</v>
      </c>
      <c r="H59">
        <v>0</v>
      </c>
      <c r="I59">
        <v>0</v>
      </c>
      <c r="J59">
        <v>2</v>
      </c>
      <c r="K59" s="49"/>
    </row>
    <row r="60" spans="1:11" hidden="1" x14ac:dyDescent="0.35">
      <c r="A60" t="s">
        <v>63</v>
      </c>
      <c r="B60" t="s">
        <v>89</v>
      </c>
      <c r="C60" t="s">
        <v>710</v>
      </c>
      <c r="D60">
        <v>0</v>
      </c>
      <c r="E60">
        <v>0.9</v>
      </c>
      <c r="F60">
        <v>0.05</v>
      </c>
      <c r="G60">
        <v>0.05</v>
      </c>
      <c r="H60">
        <v>0</v>
      </c>
      <c r="I60">
        <v>0</v>
      </c>
      <c r="J60">
        <v>0</v>
      </c>
      <c r="K60">
        <v>90</v>
      </c>
    </row>
    <row r="61" spans="1:11" hidden="1" x14ac:dyDescent="0.35">
      <c r="A61" t="s">
        <v>63</v>
      </c>
      <c r="B61" t="s">
        <v>25</v>
      </c>
      <c r="C61" t="s">
        <v>710</v>
      </c>
      <c r="D61">
        <v>0</v>
      </c>
      <c r="E61">
        <v>0.9</v>
      </c>
      <c r="F61">
        <v>0.05</v>
      </c>
      <c r="G61">
        <v>0.05</v>
      </c>
      <c r="H61">
        <v>0</v>
      </c>
      <c r="I61">
        <v>0</v>
      </c>
      <c r="J61">
        <v>0</v>
      </c>
      <c r="K61">
        <v>3</v>
      </c>
    </row>
    <row r="62" spans="1:11" hidden="1" x14ac:dyDescent="0.35">
      <c r="A62" t="s">
        <v>38</v>
      </c>
      <c r="B62" t="s">
        <v>51</v>
      </c>
      <c r="C62" t="s">
        <v>710</v>
      </c>
      <c r="D62">
        <v>1.7521367521367521</v>
      </c>
      <c r="E62">
        <v>0.9</v>
      </c>
      <c r="F62">
        <v>0.1</v>
      </c>
      <c r="G62">
        <v>0.1</v>
      </c>
      <c r="H62">
        <v>28</v>
      </c>
      <c r="I62">
        <v>78</v>
      </c>
      <c r="J62">
        <v>99</v>
      </c>
      <c r="K62">
        <v>117</v>
      </c>
    </row>
    <row r="63" spans="1:11" x14ac:dyDescent="0.35">
      <c r="A63" t="s">
        <v>38</v>
      </c>
      <c r="B63" t="s">
        <v>29</v>
      </c>
      <c r="C63" t="s">
        <v>710</v>
      </c>
      <c r="D63">
        <v>1.9743589743589745</v>
      </c>
      <c r="E63">
        <v>0.9</v>
      </c>
      <c r="F63">
        <v>0.1</v>
      </c>
      <c r="G63">
        <v>0.1</v>
      </c>
      <c r="H63">
        <v>14</v>
      </c>
      <c r="I63">
        <v>30</v>
      </c>
      <c r="J63">
        <v>33</v>
      </c>
      <c r="K63">
        <v>39</v>
      </c>
    </row>
    <row r="64" spans="1:11" hidden="1" x14ac:dyDescent="0.35">
      <c r="A64" t="s">
        <v>38</v>
      </c>
      <c r="B64" t="s">
        <v>11</v>
      </c>
      <c r="C64" t="s">
        <v>710</v>
      </c>
      <c r="D64">
        <v>0.5</v>
      </c>
      <c r="E64">
        <v>0.9</v>
      </c>
      <c r="F64">
        <v>0.1</v>
      </c>
      <c r="G64">
        <v>0.1</v>
      </c>
      <c r="H64">
        <v>1</v>
      </c>
      <c r="I64">
        <v>1</v>
      </c>
      <c r="J64">
        <v>1</v>
      </c>
      <c r="K64">
        <v>2</v>
      </c>
    </row>
    <row r="65" spans="1:11" hidden="1" x14ac:dyDescent="0.35">
      <c r="A65" t="s">
        <v>38</v>
      </c>
      <c r="B65" t="s">
        <v>12</v>
      </c>
      <c r="C65" t="s">
        <v>710</v>
      </c>
      <c r="D65">
        <v>0</v>
      </c>
      <c r="E65">
        <v>0.9</v>
      </c>
      <c r="F65">
        <v>0.2</v>
      </c>
      <c r="G65">
        <v>0.2</v>
      </c>
      <c r="H65">
        <v>0</v>
      </c>
      <c r="I65">
        <v>0</v>
      </c>
      <c r="J65">
        <v>0</v>
      </c>
      <c r="K65">
        <v>2560058204</v>
      </c>
    </row>
    <row r="66" spans="1:11" hidden="1" x14ac:dyDescent="0.35">
      <c r="A66" t="s">
        <v>38</v>
      </c>
      <c r="B66" t="s">
        <v>13</v>
      </c>
      <c r="C66" t="s">
        <v>710</v>
      </c>
      <c r="D66">
        <v>0</v>
      </c>
      <c r="E66">
        <v>0.9</v>
      </c>
      <c r="F66">
        <v>0.1</v>
      </c>
      <c r="G66">
        <v>0.1</v>
      </c>
      <c r="H66">
        <v>0</v>
      </c>
      <c r="I66">
        <v>0</v>
      </c>
      <c r="J66">
        <v>0</v>
      </c>
      <c r="K66">
        <v>292</v>
      </c>
    </row>
    <row r="67" spans="1:11" hidden="1" x14ac:dyDescent="0.35">
      <c r="A67" t="s">
        <v>38</v>
      </c>
      <c r="B67" t="s">
        <v>84</v>
      </c>
      <c r="C67" t="s">
        <v>710</v>
      </c>
      <c r="D67">
        <v>0</v>
      </c>
      <c r="E67">
        <v>0.9</v>
      </c>
      <c r="F67">
        <v>0.1</v>
      </c>
      <c r="G67">
        <v>0.1</v>
      </c>
      <c r="H67">
        <v>0</v>
      </c>
      <c r="I67">
        <v>0</v>
      </c>
      <c r="J67">
        <v>0</v>
      </c>
      <c r="K67" t="s">
        <v>711</v>
      </c>
    </row>
    <row r="68" spans="1:11" hidden="1" x14ac:dyDescent="0.35">
      <c r="A68" t="s">
        <v>38</v>
      </c>
      <c r="B68" t="s">
        <v>85</v>
      </c>
      <c r="C68" t="s">
        <v>710</v>
      </c>
      <c r="D68">
        <v>0</v>
      </c>
      <c r="E68">
        <v>0.9</v>
      </c>
      <c r="F68">
        <v>0.1</v>
      </c>
      <c r="G68">
        <v>0.1</v>
      </c>
      <c r="H68">
        <v>0</v>
      </c>
      <c r="I68">
        <v>0</v>
      </c>
      <c r="J68">
        <v>0</v>
      </c>
      <c r="K68" t="s">
        <v>711</v>
      </c>
    </row>
    <row r="69" spans="1:11" hidden="1" x14ac:dyDescent="0.35">
      <c r="A69" t="s">
        <v>38</v>
      </c>
      <c r="B69" t="s">
        <v>93</v>
      </c>
      <c r="C69" t="s">
        <v>710</v>
      </c>
      <c r="D69">
        <v>0.14285714285714285</v>
      </c>
      <c r="E69">
        <v>0.9</v>
      </c>
      <c r="F69">
        <v>0.1</v>
      </c>
      <c r="G69">
        <v>0.1</v>
      </c>
      <c r="H69">
        <v>1</v>
      </c>
      <c r="I69">
        <v>0</v>
      </c>
      <c r="J69">
        <v>0</v>
      </c>
      <c r="K69">
        <v>7</v>
      </c>
    </row>
    <row r="70" spans="1:11" hidden="1" x14ac:dyDescent="0.35">
      <c r="A70" t="s">
        <v>38</v>
      </c>
      <c r="B70" t="s">
        <v>89</v>
      </c>
      <c r="C70" t="s">
        <v>710</v>
      </c>
      <c r="D70">
        <v>0.19444444444444445</v>
      </c>
      <c r="E70">
        <v>0.9</v>
      </c>
      <c r="F70">
        <v>0.05</v>
      </c>
      <c r="G70">
        <v>0.05</v>
      </c>
    </row>
    <row r="71" spans="1:11" hidden="1" x14ac:dyDescent="0.35">
      <c r="A71" t="s">
        <v>38</v>
      </c>
      <c r="B71" t="s">
        <v>25</v>
      </c>
      <c r="C71" t="s">
        <v>710</v>
      </c>
      <c r="D71">
        <v>1.5</v>
      </c>
      <c r="E71">
        <v>0.9</v>
      </c>
      <c r="F71">
        <v>0.05</v>
      </c>
      <c r="G71">
        <v>0.05</v>
      </c>
      <c r="H71">
        <v>2</v>
      </c>
      <c r="I71">
        <v>6</v>
      </c>
      <c r="J71">
        <v>3</v>
      </c>
      <c r="K71">
        <v>6</v>
      </c>
    </row>
    <row r="72" spans="1:11" hidden="1" x14ac:dyDescent="0.35">
      <c r="A72" t="s">
        <v>65</v>
      </c>
      <c r="B72" t="s">
        <v>51</v>
      </c>
      <c r="C72" t="s">
        <v>710</v>
      </c>
      <c r="D72">
        <v>0.53888888888888886</v>
      </c>
      <c r="E72">
        <v>0.9</v>
      </c>
      <c r="F72">
        <v>0.1</v>
      </c>
      <c r="G72">
        <v>0.1</v>
      </c>
      <c r="H72">
        <v>0</v>
      </c>
      <c r="I72">
        <v>32</v>
      </c>
      <c r="J72">
        <v>65</v>
      </c>
      <c r="K72">
        <v>180</v>
      </c>
    </row>
    <row r="73" spans="1:11" x14ac:dyDescent="0.35">
      <c r="A73" t="s">
        <v>65</v>
      </c>
      <c r="B73" t="s">
        <v>29</v>
      </c>
      <c r="C73" t="s">
        <v>710</v>
      </c>
      <c r="D73">
        <v>2.3235294117647061</v>
      </c>
      <c r="E73">
        <v>0.9</v>
      </c>
      <c r="F73">
        <v>0.1</v>
      </c>
      <c r="G73">
        <v>0.1</v>
      </c>
      <c r="H73">
        <v>0</v>
      </c>
      <c r="I73">
        <v>26</v>
      </c>
      <c r="J73">
        <v>53</v>
      </c>
      <c r="K73">
        <v>34</v>
      </c>
    </row>
    <row r="74" spans="1:11" hidden="1" x14ac:dyDescent="0.35">
      <c r="A74" t="s">
        <v>65</v>
      </c>
      <c r="B74" t="s">
        <v>11</v>
      </c>
      <c r="C74" t="s">
        <v>710</v>
      </c>
      <c r="D74">
        <v>0</v>
      </c>
      <c r="E74">
        <v>0.9</v>
      </c>
      <c r="F74">
        <v>0.1</v>
      </c>
      <c r="G74">
        <v>0.1</v>
      </c>
      <c r="H74">
        <v>0</v>
      </c>
      <c r="I74">
        <v>0</v>
      </c>
      <c r="J74">
        <v>0</v>
      </c>
      <c r="K74">
        <v>1</v>
      </c>
    </row>
    <row r="75" spans="1:11" hidden="1" x14ac:dyDescent="0.35">
      <c r="A75" t="s">
        <v>65</v>
      </c>
      <c r="B75" t="s">
        <v>12</v>
      </c>
      <c r="C75" t="s">
        <v>710</v>
      </c>
      <c r="D75">
        <v>0</v>
      </c>
      <c r="E75">
        <v>0.9</v>
      </c>
      <c r="F75">
        <v>0.2</v>
      </c>
      <c r="G75">
        <v>0.2</v>
      </c>
      <c r="H75">
        <v>0</v>
      </c>
      <c r="I75">
        <v>0</v>
      </c>
      <c r="J75">
        <v>0</v>
      </c>
      <c r="K75" s="49"/>
    </row>
    <row r="76" spans="1:11" hidden="1" x14ac:dyDescent="0.35">
      <c r="A76" t="s">
        <v>65</v>
      </c>
      <c r="B76" t="s">
        <v>13</v>
      </c>
      <c r="C76" t="s">
        <v>710</v>
      </c>
      <c r="D76">
        <v>0</v>
      </c>
      <c r="E76">
        <v>0.9</v>
      </c>
      <c r="F76">
        <v>0.1</v>
      </c>
      <c r="G76">
        <v>0.1</v>
      </c>
      <c r="H76">
        <v>0</v>
      </c>
      <c r="I76">
        <v>0</v>
      </c>
      <c r="J76">
        <v>0</v>
      </c>
      <c r="K76">
        <v>292</v>
      </c>
    </row>
    <row r="77" spans="1:11" hidden="1" x14ac:dyDescent="0.35">
      <c r="A77" t="s">
        <v>65</v>
      </c>
      <c r="B77" t="s">
        <v>84</v>
      </c>
      <c r="C77" t="s">
        <v>710</v>
      </c>
      <c r="D77">
        <v>1.1666666666666667</v>
      </c>
      <c r="E77">
        <v>0.9</v>
      </c>
      <c r="F77">
        <v>0.1</v>
      </c>
      <c r="G77">
        <v>0.1</v>
      </c>
      <c r="H77">
        <v>0</v>
      </c>
      <c r="I77">
        <v>6</v>
      </c>
      <c r="J77">
        <v>1</v>
      </c>
      <c r="K77">
        <v>6</v>
      </c>
    </row>
    <row r="78" spans="1:11" hidden="1" x14ac:dyDescent="0.35">
      <c r="A78" t="s">
        <v>65</v>
      </c>
      <c r="B78" t="s">
        <v>85</v>
      </c>
      <c r="C78" t="s">
        <v>710</v>
      </c>
      <c r="D78">
        <v>0</v>
      </c>
      <c r="E78">
        <v>0.9</v>
      </c>
      <c r="F78">
        <v>0.1</v>
      </c>
      <c r="G78">
        <v>0.1</v>
      </c>
      <c r="H78">
        <v>0</v>
      </c>
      <c r="I78">
        <v>0</v>
      </c>
      <c r="J78">
        <v>0</v>
      </c>
      <c r="K78">
        <v>0</v>
      </c>
    </row>
    <row r="79" spans="1:11" hidden="1" x14ac:dyDescent="0.35">
      <c r="A79" t="s">
        <v>65</v>
      </c>
      <c r="B79" t="s">
        <v>93</v>
      </c>
      <c r="C79" t="s">
        <v>710</v>
      </c>
      <c r="D79">
        <v>0.14285714285714285</v>
      </c>
      <c r="E79">
        <v>0.9</v>
      </c>
      <c r="F79">
        <v>0.1</v>
      </c>
      <c r="G79">
        <v>0.1</v>
      </c>
      <c r="H79">
        <v>1</v>
      </c>
      <c r="I79">
        <v>0</v>
      </c>
      <c r="J79">
        <v>0</v>
      </c>
      <c r="K79" s="49"/>
    </row>
    <row r="80" spans="1:11" hidden="1" x14ac:dyDescent="0.35">
      <c r="A80" t="s">
        <v>65</v>
      </c>
      <c r="B80" t="s">
        <v>89</v>
      </c>
      <c r="C80" t="s">
        <v>710</v>
      </c>
      <c r="D80">
        <v>0.19444444444444445</v>
      </c>
      <c r="E80">
        <v>0.9</v>
      </c>
      <c r="F80">
        <v>0.05</v>
      </c>
      <c r="G80">
        <v>0.05</v>
      </c>
      <c r="H80">
        <v>7</v>
      </c>
      <c r="I80">
        <v>18</v>
      </c>
      <c r="J80">
        <v>10</v>
      </c>
      <c r="K80">
        <v>180</v>
      </c>
    </row>
    <row r="81" spans="1:11" hidden="1" x14ac:dyDescent="0.35">
      <c r="A81" t="s">
        <v>65</v>
      </c>
      <c r="B81" t="s">
        <v>25</v>
      </c>
      <c r="C81" t="s">
        <v>710</v>
      </c>
      <c r="D81">
        <v>1.5</v>
      </c>
      <c r="E81">
        <v>0.9</v>
      </c>
      <c r="F81">
        <v>0.05</v>
      </c>
      <c r="G81">
        <v>0.05</v>
      </c>
      <c r="H81">
        <v>2</v>
      </c>
      <c r="I81">
        <v>6</v>
      </c>
      <c r="J81">
        <v>3</v>
      </c>
      <c r="K81">
        <v>6</v>
      </c>
    </row>
    <row r="82" spans="1:11" hidden="1" x14ac:dyDescent="0.35">
      <c r="A82" t="s">
        <v>66</v>
      </c>
      <c r="B82" t="s">
        <v>51</v>
      </c>
      <c r="C82" t="s">
        <v>710</v>
      </c>
      <c r="D82">
        <v>0.72777777777777775</v>
      </c>
      <c r="E82">
        <v>0.9</v>
      </c>
      <c r="F82">
        <v>0.1</v>
      </c>
      <c r="G82">
        <v>0.1</v>
      </c>
      <c r="H82">
        <v>40</v>
      </c>
      <c r="I82">
        <v>6</v>
      </c>
      <c r="J82">
        <v>85</v>
      </c>
      <c r="K82">
        <v>180</v>
      </c>
    </row>
    <row r="83" spans="1:11" x14ac:dyDescent="0.35">
      <c r="A83" t="s">
        <v>66</v>
      </c>
      <c r="B83" t="s">
        <v>29</v>
      </c>
      <c r="C83" t="s">
        <v>710</v>
      </c>
      <c r="D83">
        <v>0.26209677419354838</v>
      </c>
      <c r="E83">
        <v>0.9</v>
      </c>
      <c r="F83">
        <v>0.1</v>
      </c>
      <c r="G83">
        <v>0.1</v>
      </c>
      <c r="H83">
        <v>17</v>
      </c>
      <c r="I83">
        <v>4</v>
      </c>
      <c r="J83">
        <v>44</v>
      </c>
      <c r="K83">
        <v>248</v>
      </c>
    </row>
    <row r="84" spans="1:11" hidden="1" x14ac:dyDescent="0.35">
      <c r="A84" t="s">
        <v>66</v>
      </c>
      <c r="B84" t="s">
        <v>11</v>
      </c>
      <c r="C84" t="s">
        <v>710</v>
      </c>
      <c r="D84">
        <v>0</v>
      </c>
      <c r="E84">
        <v>0.9</v>
      </c>
      <c r="F84">
        <v>0.1</v>
      </c>
      <c r="G84">
        <v>0.1</v>
      </c>
      <c r="H84">
        <v>0</v>
      </c>
      <c r="I84">
        <v>0</v>
      </c>
      <c r="J84">
        <v>0</v>
      </c>
      <c r="K84">
        <v>1</v>
      </c>
    </row>
    <row r="85" spans="1:11" hidden="1" x14ac:dyDescent="0.35">
      <c r="A85" t="s">
        <v>66</v>
      </c>
      <c r="B85" t="s">
        <v>12</v>
      </c>
      <c r="C85" t="s">
        <v>710</v>
      </c>
      <c r="D85">
        <v>0</v>
      </c>
      <c r="E85">
        <v>0.9</v>
      </c>
      <c r="F85">
        <v>0.2</v>
      </c>
      <c r="G85">
        <v>0.2</v>
      </c>
      <c r="H85">
        <v>0</v>
      </c>
      <c r="I85">
        <v>0</v>
      </c>
      <c r="J85">
        <v>0</v>
      </c>
      <c r="K85" s="49"/>
    </row>
    <row r="86" spans="1:11" hidden="1" x14ac:dyDescent="0.35">
      <c r="A86" t="s">
        <v>66</v>
      </c>
      <c r="B86" t="s">
        <v>13</v>
      </c>
      <c r="C86" t="s">
        <v>710</v>
      </c>
      <c r="D86">
        <v>0</v>
      </c>
      <c r="E86">
        <v>0.9</v>
      </c>
      <c r="F86">
        <v>0.1</v>
      </c>
      <c r="G86">
        <v>0.1</v>
      </c>
      <c r="H86">
        <v>0</v>
      </c>
      <c r="I86">
        <v>0</v>
      </c>
      <c r="J86">
        <v>0</v>
      </c>
      <c r="K86">
        <v>292</v>
      </c>
    </row>
    <row r="87" spans="1:11" hidden="1" x14ac:dyDescent="0.35">
      <c r="A87" t="s">
        <v>66</v>
      </c>
      <c r="B87" t="s">
        <v>84</v>
      </c>
      <c r="C87" t="s">
        <v>710</v>
      </c>
      <c r="D87">
        <v>0</v>
      </c>
      <c r="E87">
        <v>0.9</v>
      </c>
      <c r="F87">
        <v>0.1</v>
      </c>
      <c r="G87">
        <v>0.1</v>
      </c>
      <c r="H87">
        <v>0</v>
      </c>
      <c r="I87">
        <v>0</v>
      </c>
      <c r="J87">
        <v>0</v>
      </c>
      <c r="K87" t="s">
        <v>711</v>
      </c>
    </row>
    <row r="88" spans="1:11" hidden="1" x14ac:dyDescent="0.35">
      <c r="A88" t="s">
        <v>66</v>
      </c>
      <c r="B88" t="s">
        <v>85</v>
      </c>
      <c r="C88" t="s">
        <v>710</v>
      </c>
      <c r="D88">
        <v>0</v>
      </c>
      <c r="E88">
        <v>0.9</v>
      </c>
      <c r="F88">
        <v>0.1</v>
      </c>
      <c r="G88">
        <v>0.1</v>
      </c>
      <c r="H88">
        <v>0</v>
      </c>
      <c r="I88">
        <v>0</v>
      </c>
      <c r="J88">
        <v>0</v>
      </c>
      <c r="K88" t="s">
        <v>711</v>
      </c>
    </row>
    <row r="89" spans="1:11" hidden="1" x14ac:dyDescent="0.35">
      <c r="A89" t="s">
        <v>66</v>
      </c>
      <c r="B89" t="s">
        <v>93</v>
      </c>
      <c r="C89" t="s">
        <v>710</v>
      </c>
      <c r="D89">
        <v>0.14285714285714285</v>
      </c>
      <c r="E89">
        <v>0.9</v>
      </c>
      <c r="F89">
        <v>0.1</v>
      </c>
      <c r="G89">
        <v>0.1</v>
      </c>
      <c r="H89">
        <v>1</v>
      </c>
      <c r="I89">
        <v>0</v>
      </c>
      <c r="J89">
        <v>0</v>
      </c>
      <c r="K89" s="49"/>
    </row>
    <row r="90" spans="1:11" hidden="1" x14ac:dyDescent="0.35">
      <c r="A90" t="s">
        <v>66</v>
      </c>
      <c r="B90" t="s">
        <v>89</v>
      </c>
      <c r="C90" t="s">
        <v>710</v>
      </c>
      <c r="D90">
        <v>0.19444444444444445</v>
      </c>
      <c r="E90">
        <v>0.9</v>
      </c>
      <c r="F90">
        <v>0.05</v>
      </c>
      <c r="G90">
        <v>0.05</v>
      </c>
    </row>
    <row r="91" spans="1:11" hidden="1" x14ac:dyDescent="0.35">
      <c r="A91" t="s">
        <v>66</v>
      </c>
      <c r="B91" t="s">
        <v>25</v>
      </c>
      <c r="C91" t="s">
        <v>710</v>
      </c>
      <c r="D91">
        <v>1.5</v>
      </c>
      <c r="E91">
        <v>0.9</v>
      </c>
      <c r="F91">
        <v>0.05</v>
      </c>
      <c r="G91">
        <v>0.05</v>
      </c>
      <c r="H91">
        <v>2</v>
      </c>
      <c r="I91">
        <v>6</v>
      </c>
      <c r="J91">
        <v>3</v>
      </c>
      <c r="K91">
        <v>6</v>
      </c>
    </row>
    <row r="92" spans="1:11" hidden="1" x14ac:dyDescent="0.35">
      <c r="A92" t="s">
        <v>40</v>
      </c>
      <c r="B92" t="s">
        <v>51</v>
      </c>
      <c r="C92" t="s">
        <v>710</v>
      </c>
      <c r="D92">
        <v>2.506849315068493</v>
      </c>
      <c r="E92">
        <v>0.9</v>
      </c>
      <c r="F92">
        <v>0.1</v>
      </c>
      <c r="G92">
        <v>0.1</v>
      </c>
      <c r="H92">
        <v>39</v>
      </c>
      <c r="I92">
        <v>64</v>
      </c>
      <c r="J92">
        <v>80</v>
      </c>
      <c r="K92">
        <v>73</v>
      </c>
    </row>
    <row r="93" spans="1:11" x14ac:dyDescent="0.35">
      <c r="A93" t="s">
        <v>40</v>
      </c>
      <c r="B93" t="s">
        <v>29</v>
      </c>
      <c r="C93" t="s">
        <v>710</v>
      </c>
      <c r="D93">
        <v>2.4657534246575343</v>
      </c>
      <c r="E93">
        <v>0.9</v>
      </c>
      <c r="F93">
        <v>0.1</v>
      </c>
      <c r="G93">
        <v>0.1</v>
      </c>
      <c r="H93">
        <v>17</v>
      </c>
      <c r="I93">
        <v>22</v>
      </c>
      <c r="J93">
        <v>21</v>
      </c>
      <c r="K93">
        <v>24.333333333333332</v>
      </c>
    </row>
    <row r="94" spans="1:11" hidden="1" x14ac:dyDescent="0.35">
      <c r="A94" t="s">
        <v>40</v>
      </c>
      <c r="B94" t="s">
        <v>11</v>
      </c>
      <c r="C94" t="s">
        <v>710</v>
      </c>
      <c r="D94">
        <v>2</v>
      </c>
      <c r="E94">
        <v>0.9</v>
      </c>
      <c r="F94">
        <v>0.1</v>
      </c>
      <c r="G94">
        <v>0.1</v>
      </c>
      <c r="H94">
        <v>2</v>
      </c>
      <c r="I94">
        <v>3</v>
      </c>
      <c r="J94">
        <v>3</v>
      </c>
      <c r="K94">
        <v>1</v>
      </c>
    </row>
    <row r="95" spans="1:11" hidden="1" x14ac:dyDescent="0.35">
      <c r="A95" t="s">
        <v>40</v>
      </c>
      <c r="B95" t="s">
        <v>12</v>
      </c>
      <c r="C95" t="s">
        <v>710</v>
      </c>
      <c r="D95">
        <v>0.21181468917632798</v>
      </c>
      <c r="E95">
        <v>0.9</v>
      </c>
      <c r="F95">
        <v>0.2</v>
      </c>
      <c r="G95">
        <v>0.2</v>
      </c>
      <c r="H95" s="49"/>
      <c r="I95" s="49"/>
      <c r="J95" s="49"/>
      <c r="K95" s="49"/>
    </row>
    <row r="96" spans="1:11" hidden="1" x14ac:dyDescent="0.35">
      <c r="A96" t="s">
        <v>40</v>
      </c>
      <c r="B96" t="s">
        <v>13</v>
      </c>
      <c r="C96" t="s">
        <v>710</v>
      </c>
      <c r="D96">
        <v>0.37671232876712329</v>
      </c>
      <c r="E96">
        <v>0.9</v>
      </c>
      <c r="F96">
        <v>0.1</v>
      </c>
      <c r="G96">
        <v>0.1</v>
      </c>
      <c r="H96">
        <v>37</v>
      </c>
      <c r="I96">
        <v>35</v>
      </c>
      <c r="J96">
        <v>38</v>
      </c>
      <c r="K96">
        <v>292</v>
      </c>
    </row>
    <row r="97" spans="1:11" hidden="1" x14ac:dyDescent="0.35">
      <c r="A97" t="s">
        <v>40</v>
      </c>
      <c r="B97" t="s">
        <v>84</v>
      </c>
      <c r="C97" t="s">
        <v>710</v>
      </c>
      <c r="D97">
        <v>0</v>
      </c>
      <c r="E97">
        <v>0.9</v>
      </c>
      <c r="F97">
        <v>0.1</v>
      </c>
      <c r="G97">
        <v>0.1</v>
      </c>
      <c r="H97">
        <v>0</v>
      </c>
      <c r="I97">
        <v>0</v>
      </c>
      <c r="J97">
        <v>0</v>
      </c>
      <c r="K97" t="s">
        <v>711</v>
      </c>
    </row>
    <row r="98" spans="1:11" hidden="1" x14ac:dyDescent="0.35">
      <c r="A98" t="s">
        <v>40</v>
      </c>
      <c r="B98" t="s">
        <v>85</v>
      </c>
      <c r="C98" t="s">
        <v>710</v>
      </c>
      <c r="D98">
        <v>0</v>
      </c>
      <c r="E98">
        <v>0.9</v>
      </c>
      <c r="F98">
        <v>0.1</v>
      </c>
      <c r="G98">
        <v>0.1</v>
      </c>
      <c r="H98">
        <v>0</v>
      </c>
      <c r="I98">
        <v>0</v>
      </c>
      <c r="J98">
        <v>0</v>
      </c>
      <c r="K98" t="s">
        <v>711</v>
      </c>
    </row>
    <row r="99" spans="1:11" hidden="1" x14ac:dyDescent="0.35">
      <c r="A99" t="s">
        <v>40</v>
      </c>
      <c r="B99" t="s">
        <v>93</v>
      </c>
      <c r="C99" t="s">
        <v>710</v>
      </c>
      <c r="D99">
        <v>0.8571428571428571</v>
      </c>
      <c r="E99">
        <v>0.9</v>
      </c>
      <c r="F99">
        <v>0.1</v>
      </c>
      <c r="G99">
        <v>0.1</v>
      </c>
      <c r="H99">
        <v>0</v>
      </c>
      <c r="I99">
        <v>2</v>
      </c>
      <c r="J99">
        <v>1</v>
      </c>
      <c r="K99">
        <v>3.5</v>
      </c>
    </row>
    <row r="100" spans="1:11" hidden="1" x14ac:dyDescent="0.35">
      <c r="A100" t="s">
        <v>40</v>
      </c>
      <c r="B100" t="s">
        <v>89</v>
      </c>
      <c r="C100" t="s">
        <v>710</v>
      </c>
      <c r="D100">
        <v>1.5</v>
      </c>
      <c r="E100">
        <v>0.9</v>
      </c>
      <c r="F100">
        <v>0.05</v>
      </c>
      <c r="G100">
        <v>0.05</v>
      </c>
    </row>
    <row r="101" spans="1:11" hidden="1" x14ac:dyDescent="0.35">
      <c r="A101" t="s">
        <v>40</v>
      </c>
      <c r="B101" t="s">
        <v>25</v>
      </c>
      <c r="C101" t="s">
        <v>710</v>
      </c>
      <c r="D101">
        <v>1.5</v>
      </c>
      <c r="E101">
        <v>0.9</v>
      </c>
      <c r="F101">
        <v>0.05</v>
      </c>
      <c r="G101">
        <v>0.05</v>
      </c>
      <c r="H101">
        <v>8</v>
      </c>
      <c r="I101">
        <v>5</v>
      </c>
      <c r="J101">
        <v>0</v>
      </c>
      <c r="K101">
        <v>3</v>
      </c>
    </row>
    <row r="102" spans="1:11" hidden="1" x14ac:dyDescent="0.35">
      <c r="A102" t="s">
        <v>67</v>
      </c>
      <c r="B102" t="s">
        <v>51</v>
      </c>
      <c r="C102" t="s">
        <v>710</v>
      </c>
      <c r="D102">
        <v>1.35</v>
      </c>
      <c r="E102">
        <v>0.9</v>
      </c>
      <c r="F102">
        <v>0.1</v>
      </c>
      <c r="G102">
        <v>0.1</v>
      </c>
      <c r="H102">
        <v>70</v>
      </c>
      <c r="I102">
        <v>84</v>
      </c>
      <c r="J102">
        <v>89</v>
      </c>
      <c r="K102">
        <v>180</v>
      </c>
    </row>
    <row r="103" spans="1:11" x14ac:dyDescent="0.35">
      <c r="A103" t="s">
        <v>67</v>
      </c>
      <c r="B103" t="s">
        <v>29</v>
      </c>
      <c r="C103" t="s">
        <v>710</v>
      </c>
      <c r="D103">
        <v>1.452054794520548</v>
      </c>
      <c r="E103">
        <v>0.9</v>
      </c>
      <c r="F103">
        <v>0.1</v>
      </c>
      <c r="G103">
        <v>0.1</v>
      </c>
      <c r="H103">
        <v>65</v>
      </c>
      <c r="I103">
        <v>77</v>
      </c>
      <c r="J103">
        <v>70</v>
      </c>
      <c r="K103">
        <v>146</v>
      </c>
    </row>
    <row r="104" spans="1:11" hidden="1" x14ac:dyDescent="0.35">
      <c r="A104" t="s">
        <v>67</v>
      </c>
      <c r="B104" t="s">
        <v>11</v>
      </c>
      <c r="C104" t="s">
        <v>710</v>
      </c>
      <c r="D104">
        <v>1</v>
      </c>
      <c r="E104">
        <v>0.9</v>
      </c>
      <c r="F104">
        <v>0.1</v>
      </c>
      <c r="G104">
        <v>0.1</v>
      </c>
      <c r="H104">
        <v>1</v>
      </c>
      <c r="I104">
        <v>1</v>
      </c>
      <c r="J104">
        <v>1</v>
      </c>
      <c r="K104">
        <v>1</v>
      </c>
    </row>
    <row r="105" spans="1:11" hidden="1" x14ac:dyDescent="0.35">
      <c r="A105" t="s">
        <v>67</v>
      </c>
      <c r="B105" t="s">
        <v>12</v>
      </c>
      <c r="C105" t="s">
        <v>710</v>
      </c>
      <c r="D105">
        <v>0.21181468917632798</v>
      </c>
      <c r="E105">
        <v>0.9</v>
      </c>
      <c r="F105">
        <v>0.2</v>
      </c>
      <c r="G105">
        <v>0.2</v>
      </c>
      <c r="H105">
        <v>103546174</v>
      </c>
      <c r="I105">
        <v>237904874</v>
      </c>
      <c r="J105">
        <v>229557100</v>
      </c>
      <c r="K105">
        <v>2695791072</v>
      </c>
    </row>
    <row r="106" spans="1:11" hidden="1" x14ac:dyDescent="0.35">
      <c r="A106" t="s">
        <v>67</v>
      </c>
      <c r="B106" t="s">
        <v>13</v>
      </c>
      <c r="C106" t="s">
        <v>710</v>
      </c>
      <c r="D106">
        <v>0.37671232876712329</v>
      </c>
      <c r="E106">
        <v>0.9</v>
      </c>
      <c r="F106">
        <v>0.1</v>
      </c>
      <c r="G106">
        <v>0.1</v>
      </c>
      <c r="H106" s="49"/>
      <c r="I106" s="49"/>
      <c r="J106" s="49"/>
      <c r="K106">
        <v>292</v>
      </c>
    </row>
    <row r="107" spans="1:11" hidden="1" x14ac:dyDescent="0.35">
      <c r="A107" t="s">
        <v>67</v>
      </c>
      <c r="B107" t="s">
        <v>84</v>
      </c>
      <c r="C107" t="s">
        <v>710</v>
      </c>
      <c r="D107">
        <v>1</v>
      </c>
      <c r="E107">
        <v>0.9</v>
      </c>
      <c r="F107">
        <v>0.1</v>
      </c>
      <c r="G107">
        <v>0.1</v>
      </c>
      <c r="H107">
        <v>1</v>
      </c>
      <c r="I107">
        <v>0</v>
      </c>
      <c r="J107">
        <v>0</v>
      </c>
      <c r="K107">
        <v>1</v>
      </c>
    </row>
    <row r="108" spans="1:11" hidden="1" x14ac:dyDescent="0.35">
      <c r="A108" t="s">
        <v>67</v>
      </c>
      <c r="B108" t="s">
        <v>85</v>
      </c>
      <c r="C108" t="s">
        <v>710</v>
      </c>
      <c r="D108">
        <v>1</v>
      </c>
      <c r="E108">
        <v>0.9</v>
      </c>
      <c r="F108">
        <v>0.1</v>
      </c>
      <c r="G108">
        <v>0.1</v>
      </c>
      <c r="H108">
        <v>1</v>
      </c>
      <c r="I108">
        <v>0</v>
      </c>
      <c r="J108">
        <v>0</v>
      </c>
      <c r="K108">
        <v>1</v>
      </c>
    </row>
    <row r="109" spans="1:11" hidden="1" x14ac:dyDescent="0.35">
      <c r="A109" t="s">
        <v>67</v>
      </c>
      <c r="B109" t="s">
        <v>93</v>
      </c>
      <c r="C109" t="s">
        <v>710</v>
      </c>
      <c r="D109">
        <v>0.8571428571428571</v>
      </c>
      <c r="E109">
        <v>0.9</v>
      </c>
      <c r="F109">
        <v>0.1</v>
      </c>
      <c r="G109">
        <v>0.1</v>
      </c>
      <c r="H109">
        <v>0</v>
      </c>
      <c r="I109">
        <v>2</v>
      </c>
      <c r="J109">
        <v>1</v>
      </c>
      <c r="K109" s="49"/>
    </row>
    <row r="110" spans="1:11" hidden="1" x14ac:dyDescent="0.35">
      <c r="A110" t="s">
        <v>67</v>
      </c>
      <c r="B110" t="s">
        <v>89</v>
      </c>
      <c r="C110" t="s">
        <v>710</v>
      </c>
      <c r="D110">
        <v>1.5</v>
      </c>
      <c r="E110">
        <v>0.9</v>
      </c>
      <c r="F110">
        <v>0.05</v>
      </c>
      <c r="G110">
        <v>0.05</v>
      </c>
      <c r="H110">
        <v>111</v>
      </c>
      <c r="I110">
        <v>63</v>
      </c>
      <c r="J110">
        <v>0</v>
      </c>
      <c r="K110">
        <v>90</v>
      </c>
    </row>
    <row r="111" spans="1:11" hidden="1" x14ac:dyDescent="0.35">
      <c r="A111" t="s">
        <v>67</v>
      </c>
      <c r="B111" t="s">
        <v>25</v>
      </c>
      <c r="C111" t="s">
        <v>710</v>
      </c>
      <c r="D111">
        <v>1.5</v>
      </c>
      <c r="E111">
        <v>0.9</v>
      </c>
      <c r="F111">
        <v>0.05</v>
      </c>
      <c r="G111">
        <v>0.05</v>
      </c>
      <c r="H111">
        <v>8</v>
      </c>
      <c r="I111">
        <v>5</v>
      </c>
      <c r="J111">
        <v>0</v>
      </c>
      <c r="K111">
        <v>3</v>
      </c>
    </row>
    <row r="112" spans="1:11" hidden="1" x14ac:dyDescent="0.35">
      <c r="A112" t="s">
        <v>42</v>
      </c>
      <c r="B112" t="s">
        <v>51</v>
      </c>
      <c r="C112" t="s">
        <v>710</v>
      </c>
      <c r="D112">
        <v>0.9570815450643777</v>
      </c>
      <c r="E112">
        <v>0.9</v>
      </c>
      <c r="F112">
        <v>0.1</v>
      </c>
      <c r="G112">
        <v>0.1</v>
      </c>
      <c r="H112">
        <v>42</v>
      </c>
      <c r="I112">
        <v>92</v>
      </c>
      <c r="J112">
        <v>89</v>
      </c>
      <c r="K112">
        <v>233</v>
      </c>
    </row>
    <row r="113" spans="1:11" x14ac:dyDescent="0.35">
      <c r="A113" t="s">
        <v>42</v>
      </c>
      <c r="B113" t="s">
        <v>29</v>
      </c>
      <c r="C113" t="s">
        <v>710</v>
      </c>
      <c r="D113">
        <v>1.6094420600858368</v>
      </c>
      <c r="E113">
        <v>0.9</v>
      </c>
      <c r="F113">
        <v>0.1</v>
      </c>
      <c r="G113">
        <v>0.1</v>
      </c>
      <c r="H113">
        <v>23</v>
      </c>
      <c r="I113">
        <v>55</v>
      </c>
      <c r="J113">
        <v>47</v>
      </c>
      <c r="K113">
        <v>77.666666666666671</v>
      </c>
    </row>
    <row r="114" spans="1:11" hidden="1" x14ac:dyDescent="0.35">
      <c r="A114" t="s">
        <v>42</v>
      </c>
      <c r="B114" t="s">
        <v>11</v>
      </c>
      <c r="C114" t="s">
        <v>710</v>
      </c>
      <c r="D114">
        <v>2.2000000000000002</v>
      </c>
      <c r="E114">
        <v>0.9</v>
      </c>
      <c r="F114">
        <v>0.1</v>
      </c>
      <c r="G114">
        <v>0.1</v>
      </c>
      <c r="H114">
        <v>11</v>
      </c>
      <c r="I114">
        <v>11</v>
      </c>
      <c r="J114">
        <v>11</v>
      </c>
      <c r="K114">
        <v>5</v>
      </c>
    </row>
    <row r="115" spans="1:11" hidden="1" x14ac:dyDescent="0.35">
      <c r="A115" t="s">
        <v>42</v>
      </c>
      <c r="B115" t="s">
        <v>12</v>
      </c>
      <c r="C115" t="s">
        <v>710</v>
      </c>
      <c r="D115">
        <v>0.43489242588479821</v>
      </c>
      <c r="E115">
        <v>0.9</v>
      </c>
      <c r="F115">
        <v>0.2</v>
      </c>
      <c r="G115">
        <v>0.2</v>
      </c>
      <c r="H115">
        <v>584151700</v>
      </c>
      <c r="I115">
        <v>341746835</v>
      </c>
      <c r="J115">
        <v>160159400</v>
      </c>
      <c r="K115">
        <v>2497302483</v>
      </c>
    </row>
    <row r="116" spans="1:11" hidden="1" x14ac:dyDescent="0.35">
      <c r="A116" t="s">
        <v>42</v>
      </c>
      <c r="B116" t="s">
        <v>13</v>
      </c>
      <c r="C116" t="s">
        <v>710</v>
      </c>
      <c r="D116">
        <v>0.28767123287671231</v>
      </c>
      <c r="E116">
        <v>0.9</v>
      </c>
      <c r="F116">
        <v>0.1</v>
      </c>
      <c r="G116">
        <v>0.1</v>
      </c>
      <c r="H116">
        <v>36</v>
      </c>
      <c r="I116">
        <v>32</v>
      </c>
      <c r="J116">
        <v>16</v>
      </c>
      <c r="K116">
        <v>292</v>
      </c>
    </row>
    <row r="117" spans="1:11" hidden="1" x14ac:dyDescent="0.35">
      <c r="A117" t="s">
        <v>42</v>
      </c>
      <c r="B117" t="s">
        <v>84</v>
      </c>
      <c r="C117" t="s">
        <v>710</v>
      </c>
      <c r="D117">
        <v>0</v>
      </c>
      <c r="E117">
        <v>0.9</v>
      </c>
      <c r="F117">
        <v>0.1</v>
      </c>
      <c r="G117">
        <v>0.1</v>
      </c>
      <c r="H117">
        <v>0</v>
      </c>
      <c r="I117">
        <v>0</v>
      </c>
      <c r="J117">
        <v>0</v>
      </c>
      <c r="K117" t="s">
        <v>711</v>
      </c>
    </row>
    <row r="118" spans="1:11" hidden="1" x14ac:dyDescent="0.35">
      <c r="A118" t="s">
        <v>42</v>
      </c>
      <c r="B118" t="s">
        <v>85</v>
      </c>
      <c r="C118" t="s">
        <v>710</v>
      </c>
      <c r="D118">
        <v>0</v>
      </c>
      <c r="E118">
        <v>0.9</v>
      </c>
      <c r="F118">
        <v>0.1</v>
      </c>
      <c r="G118">
        <v>0.1</v>
      </c>
      <c r="H118">
        <v>0</v>
      </c>
      <c r="I118">
        <v>0</v>
      </c>
      <c r="J118">
        <v>0</v>
      </c>
      <c r="K118" t="s">
        <v>711</v>
      </c>
    </row>
    <row r="119" spans="1:11" hidden="1" x14ac:dyDescent="0.35">
      <c r="A119" t="s">
        <v>42</v>
      </c>
      <c r="B119" t="s">
        <v>93</v>
      </c>
      <c r="C119" t="s">
        <v>710</v>
      </c>
      <c r="D119">
        <v>1.5</v>
      </c>
      <c r="E119">
        <v>0.9</v>
      </c>
      <c r="F119">
        <v>0.1</v>
      </c>
      <c r="G119">
        <v>0.1</v>
      </c>
      <c r="H119">
        <v>1</v>
      </c>
      <c r="I119">
        <v>4</v>
      </c>
      <c r="J119">
        <v>6</v>
      </c>
      <c r="K119">
        <v>7</v>
      </c>
    </row>
    <row r="120" spans="1:11" hidden="1" x14ac:dyDescent="0.35">
      <c r="A120" t="s">
        <v>42</v>
      </c>
      <c r="B120" t="s">
        <v>89</v>
      </c>
      <c r="C120" t="s">
        <v>710</v>
      </c>
      <c r="D120">
        <v>1.5</v>
      </c>
      <c r="E120">
        <v>0.9</v>
      </c>
      <c r="F120">
        <v>0.05</v>
      </c>
      <c r="G120">
        <v>0.05</v>
      </c>
    </row>
    <row r="121" spans="1:11" hidden="1" x14ac:dyDescent="0.35">
      <c r="A121" t="s">
        <v>42</v>
      </c>
      <c r="B121" t="s">
        <v>25</v>
      </c>
      <c r="C121" t="s">
        <v>710</v>
      </c>
      <c r="D121">
        <v>1.5</v>
      </c>
      <c r="E121">
        <v>0.9</v>
      </c>
      <c r="F121">
        <v>0.05</v>
      </c>
      <c r="G121">
        <v>0.05</v>
      </c>
      <c r="H121">
        <v>5</v>
      </c>
      <c r="I121">
        <v>6</v>
      </c>
      <c r="J121">
        <v>5</v>
      </c>
      <c r="K121">
        <v>6</v>
      </c>
    </row>
    <row r="122" spans="1:11" hidden="1" x14ac:dyDescent="0.35">
      <c r="A122" t="s">
        <v>68</v>
      </c>
      <c r="B122" t="s">
        <v>51</v>
      </c>
      <c r="C122" t="s">
        <v>710</v>
      </c>
      <c r="D122">
        <v>0.74444444444444446</v>
      </c>
      <c r="E122">
        <v>0.9</v>
      </c>
      <c r="F122">
        <v>0.1</v>
      </c>
      <c r="G122">
        <v>0.1</v>
      </c>
      <c r="H122">
        <v>20</v>
      </c>
      <c r="I122">
        <v>55</v>
      </c>
      <c r="J122">
        <v>59</v>
      </c>
      <c r="K122">
        <v>180</v>
      </c>
    </row>
    <row r="123" spans="1:11" x14ac:dyDescent="0.35">
      <c r="A123" t="s">
        <v>68</v>
      </c>
      <c r="B123" t="s">
        <v>29</v>
      </c>
      <c r="C123" t="s">
        <v>710</v>
      </c>
      <c r="D123">
        <v>0.75409836065573765</v>
      </c>
      <c r="E123">
        <v>0.9</v>
      </c>
      <c r="F123">
        <v>0.1</v>
      </c>
      <c r="G123">
        <v>0.1</v>
      </c>
      <c r="H123">
        <v>16</v>
      </c>
      <c r="I123">
        <v>41</v>
      </c>
      <c r="J123">
        <v>35</v>
      </c>
      <c r="K123">
        <v>122</v>
      </c>
    </row>
    <row r="124" spans="1:11" hidden="1" x14ac:dyDescent="0.35">
      <c r="A124" t="s">
        <v>68</v>
      </c>
      <c r="B124" t="s">
        <v>11</v>
      </c>
      <c r="C124" t="s">
        <v>710</v>
      </c>
      <c r="D124">
        <v>0</v>
      </c>
      <c r="E124">
        <v>0.9</v>
      </c>
      <c r="F124">
        <v>0.1</v>
      </c>
      <c r="G124">
        <v>0.1</v>
      </c>
      <c r="H124">
        <v>0</v>
      </c>
      <c r="I124">
        <v>0</v>
      </c>
      <c r="J124">
        <v>0</v>
      </c>
      <c r="K124">
        <v>1</v>
      </c>
    </row>
    <row r="125" spans="1:11" hidden="1" x14ac:dyDescent="0.35">
      <c r="A125" t="s">
        <v>68</v>
      </c>
      <c r="B125" t="s">
        <v>12</v>
      </c>
      <c r="C125" t="s">
        <v>710</v>
      </c>
      <c r="D125">
        <v>0.43489242588479821</v>
      </c>
      <c r="E125">
        <v>0.9</v>
      </c>
      <c r="F125">
        <v>0.2</v>
      </c>
      <c r="G125">
        <v>0.2</v>
      </c>
      <c r="H125" s="49"/>
      <c r="I125" s="49"/>
      <c r="J125" s="49"/>
      <c r="K125" s="49"/>
    </row>
    <row r="126" spans="1:11" hidden="1" x14ac:dyDescent="0.35">
      <c r="A126" t="s">
        <v>68</v>
      </c>
      <c r="B126" t="s">
        <v>13</v>
      </c>
      <c r="C126" t="s">
        <v>710</v>
      </c>
      <c r="D126">
        <v>0.28767123287671231</v>
      </c>
      <c r="E126">
        <v>0.9</v>
      </c>
      <c r="F126">
        <v>0.1</v>
      </c>
      <c r="G126">
        <v>0.1</v>
      </c>
      <c r="H126" s="49"/>
      <c r="I126" s="49"/>
      <c r="J126" s="49"/>
      <c r="K126">
        <v>292</v>
      </c>
    </row>
    <row r="127" spans="1:11" hidden="1" x14ac:dyDescent="0.35">
      <c r="A127" t="s">
        <v>68</v>
      </c>
      <c r="B127" t="s">
        <v>84</v>
      </c>
      <c r="C127" t="s">
        <v>710</v>
      </c>
      <c r="D127">
        <v>1</v>
      </c>
      <c r="E127">
        <v>0.9</v>
      </c>
      <c r="F127">
        <v>0.1</v>
      </c>
      <c r="G127">
        <v>0.1</v>
      </c>
      <c r="H127">
        <v>9</v>
      </c>
      <c r="I127">
        <v>0</v>
      </c>
      <c r="J127">
        <v>0</v>
      </c>
      <c r="K127">
        <v>9</v>
      </c>
    </row>
    <row r="128" spans="1:11" hidden="1" x14ac:dyDescent="0.35">
      <c r="A128" t="s">
        <v>68</v>
      </c>
      <c r="B128" t="s">
        <v>85</v>
      </c>
      <c r="C128" t="s">
        <v>710</v>
      </c>
      <c r="D128">
        <v>0</v>
      </c>
      <c r="E128">
        <v>0.9</v>
      </c>
      <c r="F128">
        <v>0.1</v>
      </c>
      <c r="G128">
        <v>0.1</v>
      </c>
      <c r="H128">
        <v>0</v>
      </c>
      <c r="I128">
        <v>0</v>
      </c>
      <c r="J128">
        <v>0</v>
      </c>
      <c r="K128">
        <v>0</v>
      </c>
    </row>
    <row r="129" spans="1:11" hidden="1" x14ac:dyDescent="0.35">
      <c r="A129" t="s">
        <v>68</v>
      </c>
      <c r="B129" t="s">
        <v>93</v>
      </c>
      <c r="C129" t="s">
        <v>710</v>
      </c>
      <c r="D129">
        <v>1.5</v>
      </c>
      <c r="E129">
        <v>0.9</v>
      </c>
      <c r="F129">
        <v>0.1</v>
      </c>
      <c r="G129">
        <v>0.1</v>
      </c>
      <c r="H129">
        <v>1</v>
      </c>
      <c r="I129">
        <v>4</v>
      </c>
      <c r="J129">
        <v>6</v>
      </c>
      <c r="K129" s="49"/>
    </row>
    <row r="130" spans="1:11" hidden="1" x14ac:dyDescent="0.35">
      <c r="A130" t="s">
        <v>68</v>
      </c>
      <c r="B130" t="s">
        <v>89</v>
      </c>
      <c r="C130" t="s">
        <v>710</v>
      </c>
      <c r="D130">
        <v>1.5</v>
      </c>
      <c r="E130">
        <v>0.9</v>
      </c>
      <c r="F130">
        <v>0.05</v>
      </c>
      <c r="G130">
        <v>0.05</v>
      </c>
      <c r="H130">
        <v>90</v>
      </c>
      <c r="I130">
        <v>114</v>
      </c>
      <c r="J130">
        <v>823</v>
      </c>
      <c r="K130">
        <v>180</v>
      </c>
    </row>
    <row r="131" spans="1:11" hidden="1" x14ac:dyDescent="0.35">
      <c r="A131" t="s">
        <v>68</v>
      </c>
      <c r="B131" t="s">
        <v>25</v>
      </c>
      <c r="C131" t="s">
        <v>710</v>
      </c>
      <c r="D131">
        <v>1.5</v>
      </c>
      <c r="E131">
        <v>0.9</v>
      </c>
      <c r="F131">
        <v>0.05</v>
      </c>
      <c r="G131">
        <v>0.05</v>
      </c>
      <c r="H131">
        <v>5</v>
      </c>
      <c r="I131">
        <v>6</v>
      </c>
      <c r="J131">
        <v>5</v>
      </c>
      <c r="K131">
        <v>6</v>
      </c>
    </row>
    <row r="132" spans="1:11" hidden="1" x14ac:dyDescent="0.35">
      <c r="A132" t="s">
        <v>69</v>
      </c>
      <c r="B132" t="s">
        <v>51</v>
      </c>
      <c r="C132" t="s">
        <v>710</v>
      </c>
      <c r="D132">
        <v>1.2333333333333334</v>
      </c>
      <c r="E132">
        <v>0.9</v>
      </c>
      <c r="F132">
        <v>0.1</v>
      </c>
      <c r="G132">
        <v>0.1</v>
      </c>
      <c r="H132">
        <v>32</v>
      </c>
      <c r="I132">
        <v>78</v>
      </c>
      <c r="J132">
        <v>112</v>
      </c>
      <c r="K132">
        <v>180</v>
      </c>
    </row>
    <row r="133" spans="1:11" x14ac:dyDescent="0.35">
      <c r="A133" t="s">
        <v>69</v>
      </c>
      <c r="B133" t="s">
        <v>29</v>
      </c>
      <c r="C133" t="s">
        <v>710</v>
      </c>
      <c r="D133">
        <v>1.6065573770491803</v>
      </c>
      <c r="E133">
        <v>0.9</v>
      </c>
      <c r="F133">
        <v>0.1</v>
      </c>
      <c r="G133">
        <v>0.1</v>
      </c>
      <c r="H133">
        <v>10</v>
      </c>
      <c r="I133">
        <v>35</v>
      </c>
      <c r="J133">
        <v>53</v>
      </c>
      <c r="K133">
        <v>61</v>
      </c>
    </row>
    <row r="134" spans="1:11" hidden="1" x14ac:dyDescent="0.35">
      <c r="A134" t="s">
        <v>69</v>
      </c>
      <c r="B134" t="s">
        <v>11</v>
      </c>
      <c r="C134" t="s">
        <v>710</v>
      </c>
      <c r="D134">
        <v>0</v>
      </c>
      <c r="E134">
        <v>0.9</v>
      </c>
      <c r="F134">
        <v>0.1</v>
      </c>
      <c r="G134">
        <v>0.1</v>
      </c>
      <c r="H134">
        <v>0</v>
      </c>
      <c r="I134">
        <v>0</v>
      </c>
      <c r="J134">
        <v>0</v>
      </c>
      <c r="K134">
        <v>1</v>
      </c>
    </row>
    <row r="135" spans="1:11" hidden="1" x14ac:dyDescent="0.35">
      <c r="A135" t="s">
        <v>69</v>
      </c>
      <c r="B135" t="s">
        <v>12</v>
      </c>
      <c r="C135" t="s">
        <v>710</v>
      </c>
      <c r="D135">
        <v>0.43489242588479821</v>
      </c>
      <c r="E135">
        <v>0.9</v>
      </c>
      <c r="F135">
        <v>0.2</v>
      </c>
      <c r="G135">
        <v>0.2</v>
      </c>
      <c r="H135" s="49"/>
      <c r="I135" s="49"/>
      <c r="J135" s="49"/>
      <c r="K135" s="49"/>
    </row>
    <row r="136" spans="1:11" hidden="1" x14ac:dyDescent="0.35">
      <c r="A136" t="s">
        <v>69</v>
      </c>
      <c r="B136" t="s">
        <v>13</v>
      </c>
      <c r="C136" t="s">
        <v>710</v>
      </c>
      <c r="D136">
        <v>0.28767123287671231</v>
      </c>
      <c r="E136">
        <v>0.9</v>
      </c>
      <c r="F136">
        <v>0.1</v>
      </c>
      <c r="G136">
        <v>0.1</v>
      </c>
      <c r="H136" s="49"/>
      <c r="I136" s="49"/>
      <c r="J136" s="49"/>
      <c r="K136">
        <v>292</v>
      </c>
    </row>
    <row r="137" spans="1:11" hidden="1" x14ac:dyDescent="0.35">
      <c r="A137" t="s">
        <v>69</v>
      </c>
      <c r="B137" t="s">
        <v>84</v>
      </c>
      <c r="C137" t="s">
        <v>710</v>
      </c>
      <c r="D137">
        <v>0</v>
      </c>
      <c r="E137">
        <v>0.9</v>
      </c>
      <c r="F137">
        <v>0.1</v>
      </c>
      <c r="G137">
        <v>0.1</v>
      </c>
      <c r="H137">
        <v>0</v>
      </c>
      <c r="I137">
        <v>0</v>
      </c>
      <c r="J137">
        <v>0</v>
      </c>
      <c r="K137" t="s">
        <v>711</v>
      </c>
    </row>
    <row r="138" spans="1:11" hidden="1" x14ac:dyDescent="0.35">
      <c r="A138" t="s">
        <v>69</v>
      </c>
      <c r="B138" t="s">
        <v>85</v>
      </c>
      <c r="C138" t="s">
        <v>710</v>
      </c>
      <c r="D138">
        <v>0</v>
      </c>
      <c r="E138">
        <v>0.9</v>
      </c>
      <c r="F138">
        <v>0.1</v>
      </c>
      <c r="G138">
        <v>0.1</v>
      </c>
      <c r="H138">
        <v>0</v>
      </c>
      <c r="I138">
        <v>0</v>
      </c>
      <c r="J138">
        <v>0</v>
      </c>
      <c r="K138" t="s">
        <v>711</v>
      </c>
    </row>
    <row r="139" spans="1:11" hidden="1" x14ac:dyDescent="0.35">
      <c r="A139" t="s">
        <v>69</v>
      </c>
      <c r="B139" t="s">
        <v>93</v>
      </c>
      <c r="C139" t="s">
        <v>710</v>
      </c>
      <c r="D139">
        <v>1.5</v>
      </c>
      <c r="E139">
        <v>0.9</v>
      </c>
      <c r="F139">
        <v>0.1</v>
      </c>
      <c r="G139">
        <v>0.1</v>
      </c>
      <c r="H139">
        <v>1</v>
      </c>
      <c r="I139">
        <v>4</v>
      </c>
      <c r="J139">
        <v>6</v>
      </c>
      <c r="K139" s="49"/>
    </row>
    <row r="140" spans="1:11" hidden="1" x14ac:dyDescent="0.35">
      <c r="A140" t="s">
        <v>69</v>
      </c>
      <c r="B140" t="s">
        <v>89</v>
      </c>
      <c r="C140" t="s">
        <v>710</v>
      </c>
      <c r="D140">
        <v>1.5</v>
      </c>
      <c r="E140">
        <v>0.9</v>
      </c>
      <c r="F140">
        <v>0.05</v>
      </c>
      <c r="G140">
        <v>0.05</v>
      </c>
    </row>
    <row r="141" spans="1:11" hidden="1" x14ac:dyDescent="0.35">
      <c r="A141" t="s">
        <v>69</v>
      </c>
      <c r="B141" t="s">
        <v>25</v>
      </c>
      <c r="C141" t="s">
        <v>710</v>
      </c>
      <c r="D141">
        <v>1.5</v>
      </c>
      <c r="E141">
        <v>0.9</v>
      </c>
      <c r="F141">
        <v>0.05</v>
      </c>
      <c r="G141">
        <v>0.05</v>
      </c>
      <c r="H141">
        <v>5</v>
      </c>
      <c r="I141">
        <v>6</v>
      </c>
      <c r="J141">
        <v>5</v>
      </c>
      <c r="K141">
        <v>6</v>
      </c>
    </row>
    <row r="142" spans="1:11" hidden="1" x14ac:dyDescent="0.35">
      <c r="A142" t="s">
        <v>44</v>
      </c>
      <c r="B142" t="s">
        <v>51</v>
      </c>
      <c r="C142" t="s">
        <v>710</v>
      </c>
      <c r="D142">
        <v>0.54578754578754574</v>
      </c>
      <c r="E142">
        <v>0.9</v>
      </c>
      <c r="F142">
        <v>0.1</v>
      </c>
      <c r="G142">
        <v>0.1</v>
      </c>
      <c r="H142">
        <v>11</v>
      </c>
      <c r="I142">
        <v>82</v>
      </c>
      <c r="J142">
        <v>56</v>
      </c>
      <c r="K142">
        <v>273</v>
      </c>
    </row>
    <row r="143" spans="1:11" x14ac:dyDescent="0.35">
      <c r="A143" t="s">
        <v>44</v>
      </c>
      <c r="B143" t="s">
        <v>29</v>
      </c>
      <c r="C143" t="s">
        <v>710</v>
      </c>
      <c r="D143">
        <v>0.98901098901098905</v>
      </c>
      <c r="E143">
        <v>0.9</v>
      </c>
      <c r="F143">
        <v>0.1</v>
      </c>
      <c r="G143">
        <v>0.1</v>
      </c>
      <c r="H143">
        <v>8</v>
      </c>
      <c r="I143">
        <v>55</v>
      </c>
      <c r="J143">
        <v>27</v>
      </c>
      <c r="K143">
        <v>91</v>
      </c>
    </row>
    <row r="144" spans="1:11" hidden="1" x14ac:dyDescent="0.35">
      <c r="A144" t="s">
        <v>44</v>
      </c>
      <c r="B144" t="s">
        <v>11</v>
      </c>
      <c r="C144" t="s">
        <v>710</v>
      </c>
      <c r="D144">
        <v>1.5</v>
      </c>
      <c r="E144">
        <v>0.9</v>
      </c>
      <c r="F144">
        <v>0.1</v>
      </c>
      <c r="G144">
        <v>0.1</v>
      </c>
      <c r="H144">
        <v>12</v>
      </c>
      <c r="I144">
        <v>12</v>
      </c>
      <c r="J144">
        <v>12</v>
      </c>
      <c r="K144">
        <v>8</v>
      </c>
    </row>
    <row r="145" spans="1:11" hidden="1" x14ac:dyDescent="0.35">
      <c r="A145" t="s">
        <v>44</v>
      </c>
      <c r="B145" t="s">
        <v>12</v>
      </c>
      <c r="C145" t="s">
        <v>710</v>
      </c>
      <c r="D145">
        <v>3.1131907702059324E-2</v>
      </c>
      <c r="E145">
        <v>0.9</v>
      </c>
      <c r="F145">
        <v>0.2</v>
      </c>
      <c r="G145">
        <v>0.2</v>
      </c>
      <c r="H145">
        <v>11630400</v>
      </c>
      <c r="I145">
        <v>10010500</v>
      </c>
      <c r="J145">
        <v>3230200</v>
      </c>
      <c r="K145">
        <v>798894184</v>
      </c>
    </row>
    <row r="146" spans="1:11" hidden="1" x14ac:dyDescent="0.35">
      <c r="A146" t="s">
        <v>44</v>
      </c>
      <c r="B146" t="s">
        <v>13</v>
      </c>
      <c r="C146" t="s">
        <v>710</v>
      </c>
      <c r="D146">
        <v>0.2363013698630137</v>
      </c>
      <c r="E146">
        <v>0.9</v>
      </c>
      <c r="F146">
        <v>0.1</v>
      </c>
      <c r="G146">
        <v>0.1</v>
      </c>
      <c r="H146">
        <v>30</v>
      </c>
      <c r="I146">
        <v>27</v>
      </c>
      <c r="J146">
        <v>12</v>
      </c>
      <c r="K146">
        <v>292</v>
      </c>
    </row>
    <row r="147" spans="1:11" hidden="1" x14ac:dyDescent="0.35">
      <c r="A147" t="s">
        <v>44</v>
      </c>
      <c r="B147" t="s">
        <v>84</v>
      </c>
      <c r="C147" t="s">
        <v>710</v>
      </c>
      <c r="D147">
        <v>0</v>
      </c>
      <c r="E147">
        <v>0.9</v>
      </c>
      <c r="F147">
        <v>0.1</v>
      </c>
      <c r="G147">
        <v>0.1</v>
      </c>
      <c r="H147">
        <v>0</v>
      </c>
      <c r="I147">
        <v>0</v>
      </c>
      <c r="J147">
        <v>0</v>
      </c>
      <c r="K147" t="s">
        <v>711</v>
      </c>
    </row>
    <row r="148" spans="1:11" hidden="1" x14ac:dyDescent="0.35">
      <c r="A148" t="s">
        <v>44</v>
      </c>
      <c r="B148" t="s">
        <v>85</v>
      </c>
      <c r="C148" t="s">
        <v>710</v>
      </c>
      <c r="D148">
        <v>0</v>
      </c>
      <c r="E148">
        <v>0.9</v>
      </c>
      <c r="F148">
        <v>0.1</v>
      </c>
      <c r="G148">
        <v>0.1</v>
      </c>
      <c r="H148">
        <v>0</v>
      </c>
      <c r="I148">
        <v>0</v>
      </c>
      <c r="J148">
        <v>0</v>
      </c>
      <c r="K148" t="s">
        <v>711</v>
      </c>
    </row>
    <row r="149" spans="1:11" hidden="1" x14ac:dyDescent="0.35">
      <c r="A149" t="s">
        <v>44</v>
      </c>
      <c r="B149" t="s">
        <v>93</v>
      </c>
      <c r="C149" t="s">
        <v>710</v>
      </c>
      <c r="D149">
        <v>0.5714285714285714</v>
      </c>
      <c r="E149">
        <v>0.9</v>
      </c>
      <c r="F149">
        <v>0.1</v>
      </c>
      <c r="G149">
        <v>0.1</v>
      </c>
      <c r="H149">
        <v>0</v>
      </c>
      <c r="I149">
        <v>1</v>
      </c>
      <c r="J149">
        <v>1</v>
      </c>
      <c r="K149">
        <v>3.5</v>
      </c>
    </row>
    <row r="150" spans="1:11" hidden="1" x14ac:dyDescent="0.35">
      <c r="A150" t="s">
        <v>44</v>
      </c>
      <c r="B150" t="s">
        <v>89</v>
      </c>
      <c r="C150" t="s">
        <v>710</v>
      </c>
      <c r="D150">
        <v>0</v>
      </c>
      <c r="E150">
        <v>0.9</v>
      </c>
      <c r="F150">
        <v>0.05</v>
      </c>
      <c r="G150">
        <v>0.05</v>
      </c>
      <c r="H150">
        <v>0</v>
      </c>
      <c r="I150">
        <v>0</v>
      </c>
      <c r="J150">
        <v>0</v>
      </c>
    </row>
    <row r="151" spans="1:11" hidden="1" x14ac:dyDescent="0.35">
      <c r="A151" t="s">
        <v>44</v>
      </c>
      <c r="B151" t="s">
        <v>25</v>
      </c>
      <c r="C151" t="s">
        <v>710</v>
      </c>
      <c r="D151">
        <v>0</v>
      </c>
      <c r="E151">
        <v>0.9</v>
      </c>
      <c r="F151">
        <v>0.05</v>
      </c>
      <c r="G151">
        <v>0.05</v>
      </c>
      <c r="H151">
        <v>0</v>
      </c>
      <c r="I151">
        <v>0</v>
      </c>
      <c r="J151">
        <v>0</v>
      </c>
      <c r="K151">
        <v>3</v>
      </c>
    </row>
    <row r="152" spans="1:11" hidden="1" x14ac:dyDescent="0.35">
      <c r="A152" t="s">
        <v>64</v>
      </c>
      <c r="B152" t="s">
        <v>51</v>
      </c>
      <c r="C152" t="s">
        <v>710</v>
      </c>
      <c r="D152">
        <v>0.6166666666666667</v>
      </c>
      <c r="E152">
        <v>0.9</v>
      </c>
      <c r="F152">
        <v>0.1</v>
      </c>
      <c r="G152">
        <v>0.1</v>
      </c>
      <c r="H152">
        <v>11</v>
      </c>
      <c r="I152">
        <v>61</v>
      </c>
      <c r="J152">
        <v>39</v>
      </c>
      <c r="K152">
        <v>180</v>
      </c>
    </row>
    <row r="153" spans="1:11" x14ac:dyDescent="0.35">
      <c r="A153" t="s">
        <v>64</v>
      </c>
      <c r="B153" t="s">
        <v>29</v>
      </c>
      <c r="C153" t="s">
        <v>710</v>
      </c>
      <c r="D153">
        <v>0.5</v>
      </c>
      <c r="E153">
        <v>0.9</v>
      </c>
      <c r="F153">
        <v>0.1</v>
      </c>
      <c r="G153">
        <v>0.1</v>
      </c>
      <c r="H153">
        <v>1</v>
      </c>
      <c r="I153">
        <v>16</v>
      </c>
      <c r="J153">
        <v>4</v>
      </c>
      <c r="K153">
        <v>42</v>
      </c>
    </row>
    <row r="154" spans="1:11" hidden="1" x14ac:dyDescent="0.35">
      <c r="A154" t="s">
        <v>64</v>
      </c>
      <c r="B154" t="s">
        <v>11</v>
      </c>
      <c r="C154" t="s">
        <v>710</v>
      </c>
      <c r="D154">
        <v>0</v>
      </c>
      <c r="E154">
        <v>0.9</v>
      </c>
      <c r="F154">
        <v>0.1</v>
      </c>
      <c r="G154">
        <v>0.1</v>
      </c>
      <c r="H154">
        <v>0</v>
      </c>
      <c r="I154">
        <v>0</v>
      </c>
      <c r="J154">
        <v>0</v>
      </c>
      <c r="K154">
        <v>1</v>
      </c>
    </row>
    <row r="155" spans="1:11" hidden="1" x14ac:dyDescent="0.35">
      <c r="A155" t="s">
        <v>64</v>
      </c>
      <c r="B155" t="s">
        <v>12</v>
      </c>
      <c r="C155" t="s">
        <v>710</v>
      </c>
      <c r="D155">
        <v>3.1131907702059324E-2</v>
      </c>
      <c r="E155">
        <v>0.9</v>
      </c>
      <c r="F155">
        <v>0.2</v>
      </c>
      <c r="G155">
        <v>0.2</v>
      </c>
      <c r="H155" s="49"/>
      <c r="I155" s="49"/>
      <c r="J155" s="49"/>
      <c r="K155" s="49"/>
    </row>
    <row r="156" spans="1:11" hidden="1" x14ac:dyDescent="0.35">
      <c r="A156" t="s">
        <v>64</v>
      </c>
      <c r="B156" t="s">
        <v>13</v>
      </c>
      <c r="C156" t="s">
        <v>710</v>
      </c>
      <c r="D156">
        <v>0.2363013698630137</v>
      </c>
      <c r="E156">
        <v>0.9</v>
      </c>
      <c r="F156">
        <v>0.1</v>
      </c>
      <c r="G156">
        <v>0.1</v>
      </c>
      <c r="H156" s="49"/>
      <c r="I156" s="49"/>
      <c r="J156" s="49"/>
      <c r="K156">
        <v>292</v>
      </c>
    </row>
    <row r="157" spans="1:11" hidden="1" x14ac:dyDescent="0.35">
      <c r="A157" t="s">
        <v>64</v>
      </c>
      <c r="B157" t="s">
        <v>84</v>
      </c>
      <c r="C157" t="s">
        <v>710</v>
      </c>
      <c r="D157">
        <v>1</v>
      </c>
      <c r="E157">
        <v>0.9</v>
      </c>
      <c r="F157">
        <v>0.1</v>
      </c>
      <c r="G157">
        <v>0.1</v>
      </c>
      <c r="H157">
        <v>0</v>
      </c>
      <c r="I157">
        <v>1</v>
      </c>
      <c r="J157">
        <v>0</v>
      </c>
      <c r="K157">
        <v>1</v>
      </c>
    </row>
    <row r="158" spans="1:11" hidden="1" x14ac:dyDescent="0.35">
      <c r="A158" t="s">
        <v>64</v>
      </c>
      <c r="B158" t="s">
        <v>85</v>
      </c>
      <c r="C158" t="s">
        <v>710</v>
      </c>
      <c r="D158">
        <v>0</v>
      </c>
      <c r="E158">
        <v>0.9</v>
      </c>
      <c r="F158">
        <v>0.1</v>
      </c>
      <c r="G158">
        <v>0.1</v>
      </c>
      <c r="H158">
        <v>0</v>
      </c>
      <c r="I158">
        <v>0</v>
      </c>
      <c r="J158">
        <v>0</v>
      </c>
      <c r="K158">
        <v>0</v>
      </c>
    </row>
    <row r="159" spans="1:11" hidden="1" x14ac:dyDescent="0.35">
      <c r="A159" t="s">
        <v>64</v>
      </c>
      <c r="B159" t="s">
        <v>93</v>
      </c>
      <c r="C159" t="s">
        <v>710</v>
      </c>
      <c r="D159">
        <v>0.5714285714285714</v>
      </c>
      <c r="E159">
        <v>0.9</v>
      </c>
      <c r="F159">
        <v>0.1</v>
      </c>
      <c r="G159">
        <v>0.1</v>
      </c>
      <c r="H159">
        <v>0</v>
      </c>
      <c r="I159">
        <v>1</v>
      </c>
      <c r="J159">
        <v>1</v>
      </c>
      <c r="K159" s="49"/>
    </row>
    <row r="160" spans="1:11" hidden="1" x14ac:dyDescent="0.35">
      <c r="A160" t="s">
        <v>64</v>
      </c>
      <c r="B160" t="s">
        <v>89</v>
      </c>
      <c r="C160" t="s">
        <v>710</v>
      </c>
      <c r="D160">
        <v>0</v>
      </c>
      <c r="E160">
        <v>0.9</v>
      </c>
      <c r="F160">
        <v>0.05</v>
      </c>
      <c r="G160">
        <v>0.05</v>
      </c>
      <c r="H160">
        <v>0</v>
      </c>
      <c r="I160">
        <v>0</v>
      </c>
      <c r="J160">
        <v>0</v>
      </c>
      <c r="K160">
        <v>90</v>
      </c>
    </row>
    <row r="161" spans="1:11" hidden="1" x14ac:dyDescent="0.35">
      <c r="A161" t="s">
        <v>64</v>
      </c>
      <c r="B161" t="s">
        <v>25</v>
      </c>
      <c r="C161" t="s">
        <v>710</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238</v>
      </c>
      <c r="B1" t="s">
        <v>239</v>
      </c>
      <c r="C1" t="s">
        <v>237</v>
      </c>
    </row>
    <row r="2" spans="1:3" ht="43.5" x14ac:dyDescent="0.35">
      <c r="A2" s="33">
        <v>0</v>
      </c>
      <c r="B2" t="s">
        <v>7</v>
      </c>
      <c r="C2" s="32" t="s">
        <v>228</v>
      </c>
    </row>
    <row r="3" spans="1:3" ht="43.5" x14ac:dyDescent="0.35">
      <c r="A3" s="33">
        <v>0.6</v>
      </c>
      <c r="B3" t="s">
        <v>7</v>
      </c>
      <c r="C3" s="32" t="s">
        <v>227</v>
      </c>
    </row>
    <row r="4" spans="1:3" ht="43.5" x14ac:dyDescent="0.35">
      <c r="A4" s="33">
        <v>0.75</v>
      </c>
      <c r="B4" t="s">
        <v>7</v>
      </c>
      <c r="C4" s="32" t="s">
        <v>226</v>
      </c>
    </row>
    <row r="5" spans="1:3" ht="29" x14ac:dyDescent="0.35">
      <c r="A5" s="33">
        <v>0.9</v>
      </c>
      <c r="B5" t="s">
        <v>7</v>
      </c>
      <c r="C5" s="32" t="s">
        <v>225</v>
      </c>
    </row>
    <row r="6" spans="1:3" ht="43.5" x14ac:dyDescent="0.35">
      <c r="A6" s="33">
        <v>0.9</v>
      </c>
      <c r="B6" t="s">
        <v>8</v>
      </c>
      <c r="C6" s="32" t="s">
        <v>229</v>
      </c>
    </row>
    <row r="7" spans="1:3" ht="43.5" x14ac:dyDescent="0.35">
      <c r="A7" s="33">
        <v>0.75</v>
      </c>
      <c r="B7" t="s">
        <v>8</v>
      </c>
      <c r="C7" s="32" t="s">
        <v>230</v>
      </c>
    </row>
    <row r="8" spans="1:3" ht="43.5" x14ac:dyDescent="0.35">
      <c r="A8" s="33">
        <v>0.6</v>
      </c>
      <c r="B8" t="s">
        <v>8</v>
      </c>
      <c r="C8" s="32" t="s">
        <v>231</v>
      </c>
    </row>
    <row r="9" spans="1:3" ht="43.5" x14ac:dyDescent="0.35">
      <c r="A9" s="33">
        <v>0</v>
      </c>
      <c r="B9" t="s">
        <v>8</v>
      </c>
      <c r="C9" s="32" t="s">
        <v>232</v>
      </c>
    </row>
    <row r="10" spans="1:3" ht="43.5" x14ac:dyDescent="0.35">
      <c r="A10" s="13" t="s">
        <v>240</v>
      </c>
      <c r="B10" t="s">
        <v>9</v>
      </c>
      <c r="C10" s="32" t="s">
        <v>233</v>
      </c>
    </row>
    <row r="11" spans="1:3" ht="43.5" x14ac:dyDescent="0.35">
      <c r="A11" s="13" t="s">
        <v>241</v>
      </c>
      <c r="B11" t="s">
        <v>9</v>
      </c>
      <c r="C11" s="32" t="s">
        <v>234</v>
      </c>
    </row>
    <row r="12" spans="1:3" ht="43.5" x14ac:dyDescent="0.35">
      <c r="A12" s="13" t="s">
        <v>242</v>
      </c>
      <c r="B12" t="s">
        <v>9</v>
      </c>
      <c r="C12" s="32" t="s">
        <v>235</v>
      </c>
    </row>
    <row r="13" spans="1:3" ht="43.5" x14ac:dyDescent="0.35">
      <c r="A13" s="13" t="s">
        <v>243</v>
      </c>
      <c r="B13" t="s">
        <v>9</v>
      </c>
      <c r="C13" s="32"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Tabla dinam gestion comercial</vt:lpstr>
      <vt:lpstr>mensual</vt:lpstr>
      <vt:lpstr>X territorio</vt:lpstr>
      <vt:lpstr>Trimestre</vt:lpstr>
      <vt:lpstr>Act Campo</vt:lpstr>
      <vt:lpstr>Leads</vt:lpstr>
      <vt:lpstr>Director</vt:lpstr>
      <vt:lpstr>Tecnico</vt:lpstr>
      <vt:lpstr>Fincas</vt:lpstr>
      <vt:lpstr>Territorios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2026-07-30T14:19:31Z</cp:lastPrinted>
  <dcterms:created xsi:type="dcterms:W3CDTF">2026-04-27T20:28:23Z</dcterms:created>
  <dcterms:modified xsi:type="dcterms:W3CDTF">2026-07-30T14:27:22Z</dcterms:modified>
</cp:coreProperties>
</file>